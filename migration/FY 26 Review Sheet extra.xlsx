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nadvisors-my.sharepoint.com/personal/kathleen_cyganiewicz_bartandco_com/Documents/Desktop/"/>
    </mc:Choice>
  </mc:AlternateContent>
  <xr:revisionPtr revIDLastSave="0" documentId="8_{066379A6-973C-41CA-A08C-B8C46FA4D7D3}" xr6:coauthVersionLast="47" xr6:coauthVersionMax="47" xr10:uidLastSave="{00000000-0000-0000-0000-000000000000}"/>
  <bookViews>
    <workbookView xWindow="-80" yWindow="-80" windowWidth="19360" windowHeight="11440" tabRatio="871" activeTab="2" xr2:uid="{00000000-000D-0000-FFFF-FFFF00000000}"/>
  </bookViews>
  <sheets>
    <sheet name="DO NOT EDIT - Client List" sheetId="2" r:id="rId1"/>
    <sheet name="Territory List" sheetId="1" r:id="rId2"/>
    <sheet name="Dashboard" sheetId="19" r:id="rId3"/>
    <sheet name="1-Sue" sheetId="3" r:id="rId4"/>
    <sheet name="2-Sue" sheetId="4" r:id="rId5"/>
    <sheet name="3-Sue" sheetId="5" r:id="rId6"/>
    <sheet name="4-Sue" sheetId="6" r:id="rId7"/>
    <sheet name="5-Brian" sheetId="7" r:id="rId8"/>
    <sheet name="6-Sue" sheetId="8" r:id="rId9"/>
    <sheet name="7-Brian" sheetId="9" r:id="rId10"/>
    <sheet name="8-Kath" sheetId="10" r:id="rId11"/>
    <sheet name="9-Kath" sheetId="11" r:id="rId12"/>
    <sheet name="10-Brian" sheetId="12" r:id="rId13"/>
    <sheet name="11-B,M,K" sheetId="13" r:id="rId14"/>
    <sheet name="12-Kath" sheetId="14" r:id="rId15"/>
    <sheet name="13-Michelle" sheetId="15" r:id="rId16"/>
    <sheet name="14-Michelle" sheetId="16" r:id="rId17"/>
    <sheet name="15-Michelle" sheetId="17" r:id="rId18"/>
    <sheet name="16-Michelle" sheetId="18" r:id="rId19"/>
    <sheet name="CHANGES needed" sheetId="20" r:id="rId20"/>
  </sheets>
  <definedNames>
    <definedName name="_xlnm._FilterDatabase" localSheetId="0" hidden="1">'DO NOT EDIT - Client List'!$A$1:$J$346</definedName>
    <definedName name="_xlnm._FilterDatabase" localSheetId="1" hidden="1">'Territory List'!$B$1:$N$352</definedName>
    <definedName name="_xlnm.Print_Area" localSheetId="2">Dashboard!$A$1:$G$21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2" l="1"/>
  <c r="I47" i="2"/>
  <c r="H47" i="2"/>
  <c r="G47" i="2"/>
  <c r="F47" i="2"/>
  <c r="E47" i="2"/>
  <c r="F46" i="2"/>
  <c r="E46" i="2"/>
  <c r="J46" i="2"/>
  <c r="I46" i="2"/>
  <c r="H46" i="2"/>
  <c r="G46" i="2"/>
  <c r="H26" i="2"/>
  <c r="G26" i="2"/>
  <c r="H59" i="2"/>
  <c r="D2" i="4"/>
  <c r="D3" i="4"/>
  <c r="D4" i="4"/>
  <c r="D5" i="4"/>
  <c r="D7" i="4"/>
  <c r="D8" i="4"/>
  <c r="D9" i="4"/>
  <c r="D10" i="4"/>
  <c r="D11" i="4"/>
  <c r="D12" i="4"/>
  <c r="J26" i="2"/>
  <c r="I26" i="2"/>
  <c r="F26" i="2"/>
  <c r="E26" i="2"/>
  <c r="H76" i="1" s="1" a="1"/>
  <c r="J45" i="2"/>
  <c r="I45" i="2"/>
  <c r="H45" i="2"/>
  <c r="G45" i="2"/>
  <c r="F45" i="2"/>
  <c r="E45" i="2"/>
  <c r="H11" i="1" a="1"/>
  <c r="J10" i="2"/>
  <c r="I10" i="2"/>
  <c r="H10" i="2"/>
  <c r="G10" i="2"/>
  <c r="F10" i="2"/>
  <c r="E10" i="2"/>
  <c r="D10" i="2"/>
  <c r="J344" i="2"/>
  <c r="J337" i="2"/>
  <c r="J323" i="2"/>
  <c r="J309" i="2"/>
  <c r="J296" i="2"/>
  <c r="J282" i="2"/>
  <c r="J274" i="2"/>
  <c r="J272" i="2"/>
  <c r="J266" i="2"/>
  <c r="J243" i="2"/>
  <c r="J88" i="2"/>
  <c r="J78" i="2"/>
  <c r="J76" i="2"/>
  <c r="J121" i="2"/>
  <c r="J117" i="2"/>
  <c r="J115" i="2"/>
  <c r="J165" i="2"/>
  <c r="J170" i="2"/>
  <c r="J225" i="2"/>
  <c r="J342" i="2"/>
  <c r="J268" i="2"/>
  <c r="J236" i="2"/>
  <c r="J235" i="2"/>
  <c r="F273" i="2"/>
  <c r="J343" i="2"/>
  <c r="J339" i="2"/>
  <c r="J341" i="2"/>
  <c r="J340" i="2"/>
  <c r="J345" i="2"/>
  <c r="J336" i="2"/>
  <c r="J334" i="2"/>
  <c r="J333" i="2"/>
  <c r="J330" i="2"/>
  <c r="J332" i="2"/>
  <c r="J335" i="2"/>
  <c r="J331" i="2"/>
  <c r="J338" i="2"/>
  <c r="J329" i="2"/>
  <c r="J346" i="2"/>
  <c r="F343" i="2"/>
  <c r="F339" i="2"/>
  <c r="F341" i="2"/>
  <c r="F342" i="2"/>
  <c r="F340" i="2"/>
  <c r="F345" i="2"/>
  <c r="F336" i="2"/>
  <c r="F334" i="2"/>
  <c r="F333" i="2"/>
  <c r="F330" i="2"/>
  <c r="F332" i="2"/>
  <c r="F335" i="2"/>
  <c r="F331" i="2"/>
  <c r="F338" i="2"/>
  <c r="F329" i="2"/>
  <c r="F346" i="2"/>
  <c r="J328" i="2"/>
  <c r="J327" i="2"/>
  <c r="J326" i="2"/>
  <c r="J325" i="2"/>
  <c r="J324" i="2"/>
  <c r="J322" i="2"/>
  <c r="J321" i="2"/>
  <c r="J320" i="2"/>
  <c r="J311" i="2"/>
  <c r="J319" i="2"/>
  <c r="J317" i="2"/>
  <c r="J316" i="2"/>
  <c r="J315" i="2"/>
  <c r="J314" i="2"/>
  <c r="J313" i="2"/>
  <c r="J312" i="2"/>
  <c r="J310" i="2"/>
  <c r="J308" i="2"/>
  <c r="J318" i="2"/>
  <c r="F328" i="2"/>
  <c r="F327" i="2"/>
  <c r="F326" i="2"/>
  <c r="F325" i="2"/>
  <c r="F324" i="2"/>
  <c r="F322" i="2"/>
  <c r="F321" i="2"/>
  <c r="F320" i="2"/>
  <c r="F311" i="2"/>
  <c r="F319" i="2"/>
  <c r="F317" i="2"/>
  <c r="F316" i="2"/>
  <c r="F315" i="2"/>
  <c r="F314" i="2"/>
  <c r="F313" i="2"/>
  <c r="F312" i="2"/>
  <c r="F310" i="2"/>
  <c r="F309" i="2"/>
  <c r="F308" i="2"/>
  <c r="F318" i="2"/>
  <c r="J307" i="2"/>
  <c r="J300" i="2"/>
  <c r="J306" i="2"/>
  <c r="J304" i="2"/>
  <c r="J302" i="2"/>
  <c r="J301" i="2"/>
  <c r="J298" i="2"/>
  <c r="J299" i="2"/>
  <c r="J297" i="2"/>
  <c r="J305" i="2"/>
  <c r="J303" i="2"/>
  <c r="J295" i="2"/>
  <c r="J294" i="2"/>
  <c r="J292" i="2"/>
  <c r="J291" i="2"/>
  <c r="J290" i="2"/>
  <c r="J289" i="2"/>
  <c r="J288" i="2"/>
  <c r="J287" i="2"/>
  <c r="J286" i="2"/>
  <c r="J285" i="2"/>
  <c r="J293" i="2"/>
  <c r="F307" i="2"/>
  <c r="F300" i="2"/>
  <c r="F306" i="2"/>
  <c r="F304" i="2"/>
  <c r="F302" i="2"/>
  <c r="F301" i="2"/>
  <c r="F298" i="2"/>
  <c r="F299" i="2"/>
  <c r="F297" i="2"/>
  <c r="F305" i="2"/>
  <c r="F303" i="2"/>
  <c r="F295" i="2"/>
  <c r="F294" i="2"/>
  <c r="F292" i="2"/>
  <c r="F291" i="2"/>
  <c r="F290" i="2"/>
  <c r="F289" i="2"/>
  <c r="F288" i="2"/>
  <c r="F287" i="2"/>
  <c r="F286" i="2"/>
  <c r="F285" i="2"/>
  <c r="F293" i="2"/>
  <c r="J277" i="2"/>
  <c r="F277" i="2"/>
  <c r="J283" i="2"/>
  <c r="J281" i="2"/>
  <c r="J280" i="2"/>
  <c r="J278" i="2"/>
  <c r="J276" i="2"/>
  <c r="J275" i="2"/>
  <c r="J273" i="2"/>
  <c r="J271" i="2"/>
  <c r="J270" i="2"/>
  <c r="J269" i="2"/>
  <c r="J267" i="2"/>
  <c r="J279" i="2"/>
  <c r="J284" i="2"/>
  <c r="F283" i="2"/>
  <c r="F281" i="2"/>
  <c r="F280" i="2"/>
  <c r="F278" i="2"/>
  <c r="F276" i="2"/>
  <c r="F275" i="2"/>
  <c r="F271" i="2"/>
  <c r="F269" i="2"/>
  <c r="F267" i="2"/>
  <c r="F268" i="2"/>
  <c r="F284" i="2"/>
  <c r="J263" i="2"/>
  <c r="J262" i="2"/>
  <c r="J261" i="2"/>
  <c r="J249" i="2"/>
  <c r="J260" i="2"/>
  <c r="J259" i="2"/>
  <c r="J257" i="2"/>
  <c r="J256" i="2"/>
  <c r="J255" i="2"/>
  <c r="J254" i="2"/>
  <c r="J246" i="2"/>
  <c r="J265" i="2"/>
  <c r="J253" i="2"/>
  <c r="J252" i="2"/>
  <c r="J251" i="2"/>
  <c r="J250" i="2"/>
  <c r="J248" i="2"/>
  <c r="J247" i="2"/>
  <c r="J245" i="2"/>
  <c r="J244" i="2"/>
  <c r="J242" i="2"/>
  <c r="J264" i="2"/>
  <c r="F264" i="2"/>
  <c r="E264" i="2"/>
  <c r="H243" i="1" s="1" a="1"/>
  <c r="F263" i="2"/>
  <c r="F262" i="2"/>
  <c r="F261" i="2"/>
  <c r="F249" i="2"/>
  <c r="F260" i="2"/>
  <c r="F259" i="2"/>
  <c r="F257" i="2"/>
  <c r="F258" i="2"/>
  <c r="F256" i="2"/>
  <c r="F246" i="2"/>
  <c r="F265" i="2"/>
  <c r="F253" i="2"/>
  <c r="F252" i="2"/>
  <c r="F251" i="2"/>
  <c r="F250" i="2"/>
  <c r="F248" i="2"/>
  <c r="F247" i="2"/>
  <c r="F245" i="2"/>
  <c r="F244" i="2"/>
  <c r="F242" i="2"/>
  <c r="F239" i="2"/>
  <c r="F238" i="2"/>
  <c r="F240" i="2"/>
  <c r="F237" i="2"/>
  <c r="F234" i="2"/>
  <c r="F233" i="2"/>
  <c r="F232" i="2"/>
  <c r="J239" i="2"/>
  <c r="J238" i="2"/>
  <c r="J240" i="2"/>
  <c r="J237" i="2"/>
  <c r="J234" i="2"/>
  <c r="J233" i="2"/>
  <c r="J232" i="2"/>
  <c r="J241" i="2"/>
  <c r="F241" i="2"/>
  <c r="J230" i="2"/>
  <c r="J229" i="2"/>
  <c r="J228" i="2"/>
  <c r="J226" i="2"/>
  <c r="J224" i="2"/>
  <c r="J223" i="2"/>
  <c r="J222" i="2"/>
  <c r="J221" i="2"/>
  <c r="J220" i="2"/>
  <c r="J219" i="2"/>
  <c r="J218" i="2"/>
  <c r="J217" i="2"/>
  <c r="J216" i="2"/>
  <c r="J215" i="2"/>
  <c r="J214" i="2"/>
  <c r="J227" i="2"/>
  <c r="J213" i="2"/>
  <c r="F230" i="2"/>
  <c r="F229" i="2"/>
  <c r="F228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27" i="2"/>
  <c r="F213" i="2"/>
  <c r="J231" i="2"/>
  <c r="F231" i="2"/>
  <c r="J211" i="2"/>
  <c r="J206" i="2"/>
  <c r="J202" i="2"/>
  <c r="J210" i="2"/>
  <c r="J209" i="2"/>
  <c r="J194" i="2"/>
  <c r="J189" i="2"/>
  <c r="J208" i="2"/>
  <c r="J207" i="2"/>
  <c r="J191" i="2"/>
  <c r="J205" i="2"/>
  <c r="J204" i="2"/>
  <c r="J203" i="2"/>
  <c r="J201" i="2"/>
  <c r="J199" i="2"/>
  <c r="J200" i="2"/>
  <c r="J186" i="2"/>
  <c r="J185" i="2"/>
  <c r="J198" i="2"/>
  <c r="J197" i="2"/>
  <c r="J196" i="2"/>
  <c r="J193" i="2"/>
  <c r="J192" i="2"/>
  <c r="J190" i="2"/>
  <c r="J188" i="2"/>
  <c r="J195" i="2"/>
  <c r="J187" i="2"/>
  <c r="J212" i="2"/>
  <c r="F211" i="2"/>
  <c r="F206" i="2"/>
  <c r="F202" i="2"/>
  <c r="F210" i="2"/>
  <c r="F209" i="2"/>
  <c r="F194" i="2"/>
  <c r="F189" i="2"/>
  <c r="F208" i="2"/>
  <c r="F207" i="2"/>
  <c r="F191" i="2"/>
  <c r="F205" i="2"/>
  <c r="F204" i="2"/>
  <c r="F203" i="2"/>
  <c r="F201" i="2"/>
  <c r="F199" i="2"/>
  <c r="F200" i="2"/>
  <c r="F186" i="2"/>
  <c r="F185" i="2"/>
  <c r="F198" i="2"/>
  <c r="F197" i="2"/>
  <c r="F196" i="2"/>
  <c r="F193" i="2"/>
  <c r="F192" i="2"/>
  <c r="F190" i="2"/>
  <c r="F188" i="2"/>
  <c r="F195" i="2"/>
  <c r="F187" i="2"/>
  <c r="F212" i="2"/>
  <c r="J176" i="2"/>
  <c r="J184" i="2"/>
  <c r="J183" i="2"/>
  <c r="J181" i="2"/>
  <c r="J161" i="2"/>
  <c r="J180" i="2"/>
  <c r="J179" i="2"/>
  <c r="J160" i="2"/>
  <c r="J178" i="2"/>
  <c r="J175" i="2"/>
  <c r="J173" i="2"/>
  <c r="J172" i="2"/>
  <c r="J171" i="2"/>
  <c r="J169" i="2"/>
  <c r="J168" i="2"/>
  <c r="J167" i="2"/>
  <c r="J166" i="2"/>
  <c r="J182" i="2"/>
  <c r="J164" i="2"/>
  <c r="J162" i="2"/>
  <c r="J163" i="2"/>
  <c r="J159" i="2"/>
  <c r="J158" i="2"/>
  <c r="J157" i="2"/>
  <c r="J156" i="2"/>
  <c r="J155" i="2"/>
  <c r="J154" i="2"/>
  <c r="J174" i="2"/>
  <c r="J153" i="2"/>
  <c r="J152" i="2"/>
  <c r="J177" i="2"/>
  <c r="F176" i="2"/>
  <c r="F184" i="2"/>
  <c r="F183" i="2"/>
  <c r="F181" i="2"/>
  <c r="F161" i="2"/>
  <c r="F180" i="2"/>
  <c r="F179" i="2"/>
  <c r="F160" i="2"/>
  <c r="F178" i="2"/>
  <c r="F175" i="2"/>
  <c r="F173" i="2"/>
  <c r="F172" i="2"/>
  <c r="F171" i="2"/>
  <c r="F169" i="2"/>
  <c r="F170" i="2"/>
  <c r="F168" i="2"/>
  <c r="F167" i="2"/>
  <c r="F166" i="2"/>
  <c r="F182" i="2"/>
  <c r="F164" i="2"/>
  <c r="F165" i="2"/>
  <c r="F162" i="2"/>
  <c r="F163" i="2"/>
  <c r="F159" i="2"/>
  <c r="F158" i="2"/>
  <c r="F157" i="2"/>
  <c r="F156" i="2"/>
  <c r="F155" i="2"/>
  <c r="F154" i="2"/>
  <c r="F174" i="2"/>
  <c r="F153" i="2"/>
  <c r="F152" i="2"/>
  <c r="F177" i="2"/>
  <c r="J150" i="2"/>
  <c r="J149" i="2"/>
  <c r="J146" i="2"/>
  <c r="J144" i="2"/>
  <c r="J143" i="2"/>
  <c r="J141" i="2"/>
  <c r="J119" i="2"/>
  <c r="J140" i="2"/>
  <c r="J148" i="2"/>
  <c r="J147" i="2"/>
  <c r="J142" i="2"/>
  <c r="J139" i="2"/>
  <c r="J138" i="2"/>
  <c r="J137" i="2"/>
  <c r="J136" i="2"/>
  <c r="J135" i="2"/>
  <c r="J134" i="2"/>
  <c r="J133" i="2"/>
  <c r="J130" i="2"/>
  <c r="J131" i="2"/>
  <c r="J129" i="2"/>
  <c r="J127" i="2"/>
  <c r="J126" i="2"/>
  <c r="J125" i="2"/>
  <c r="J124" i="2"/>
  <c r="J122" i="2"/>
  <c r="J120" i="2"/>
  <c r="J132" i="2"/>
  <c r="J145" i="2"/>
  <c r="J128" i="2"/>
  <c r="J123" i="2"/>
  <c r="J118" i="2"/>
  <c r="J116" i="2"/>
  <c r="J151" i="2"/>
  <c r="F150" i="2"/>
  <c r="F149" i="2"/>
  <c r="F146" i="2"/>
  <c r="F144" i="2"/>
  <c r="F143" i="2"/>
  <c r="F141" i="2"/>
  <c r="F119" i="2"/>
  <c r="F140" i="2"/>
  <c r="F148" i="2"/>
  <c r="F147" i="2"/>
  <c r="F142" i="2"/>
  <c r="F139" i="2"/>
  <c r="F138" i="2"/>
  <c r="F137" i="2"/>
  <c r="F136" i="2"/>
  <c r="F135" i="2"/>
  <c r="F134" i="2"/>
  <c r="F133" i="2"/>
  <c r="F130" i="2"/>
  <c r="F131" i="2"/>
  <c r="F129" i="2"/>
  <c r="F127" i="2"/>
  <c r="F126" i="2"/>
  <c r="F125" i="2"/>
  <c r="F124" i="2"/>
  <c r="F122" i="2"/>
  <c r="F120" i="2"/>
  <c r="F121" i="2"/>
  <c r="F132" i="2"/>
  <c r="F145" i="2"/>
  <c r="F128" i="2"/>
  <c r="F123" i="2"/>
  <c r="F118" i="2"/>
  <c r="F116" i="2"/>
  <c r="F117" i="2"/>
  <c r="F115" i="2"/>
  <c r="F151" i="2"/>
  <c r="J113" i="2"/>
  <c r="J112" i="2"/>
  <c r="J111" i="2"/>
  <c r="J110" i="2"/>
  <c r="J103" i="2"/>
  <c r="J109" i="2"/>
  <c r="J108" i="2"/>
  <c r="J107" i="2"/>
  <c r="J106" i="2"/>
  <c r="J105" i="2"/>
  <c r="J104" i="2"/>
  <c r="J102" i="2"/>
  <c r="J99" i="2"/>
  <c r="J98" i="2"/>
  <c r="J97" i="2"/>
  <c r="J101" i="2"/>
  <c r="J100" i="2"/>
  <c r="J96" i="2"/>
  <c r="J95" i="2"/>
  <c r="J94" i="2"/>
  <c r="J114" i="2"/>
  <c r="F113" i="2"/>
  <c r="F112" i="2"/>
  <c r="F111" i="2"/>
  <c r="F110" i="2"/>
  <c r="F103" i="2"/>
  <c r="F109" i="2"/>
  <c r="F108" i="2"/>
  <c r="F107" i="2"/>
  <c r="F106" i="2"/>
  <c r="F105" i="2"/>
  <c r="F104" i="2"/>
  <c r="F102" i="2"/>
  <c r="F99" i="2"/>
  <c r="F98" i="2"/>
  <c r="F97" i="2"/>
  <c r="F101" i="2"/>
  <c r="F100" i="2"/>
  <c r="F96" i="2"/>
  <c r="F95" i="2"/>
  <c r="F94" i="2"/>
  <c r="F114" i="2"/>
  <c r="J92" i="2"/>
  <c r="J91" i="2"/>
  <c r="J82" i="2"/>
  <c r="J90" i="2"/>
  <c r="J87" i="2"/>
  <c r="J86" i="2"/>
  <c r="J85" i="2"/>
  <c r="J84" i="2"/>
  <c r="J83" i="2"/>
  <c r="J80" i="2"/>
  <c r="J79" i="2"/>
  <c r="J77" i="2"/>
  <c r="J75" i="2"/>
  <c r="J72" i="2"/>
  <c r="J71" i="2"/>
  <c r="J81" i="2"/>
  <c r="J70" i="2"/>
  <c r="J69" i="2"/>
  <c r="J68" i="2"/>
  <c r="J89" i="2"/>
  <c r="J74" i="2"/>
  <c r="J73" i="2"/>
  <c r="J93" i="2"/>
  <c r="J48" i="2"/>
  <c r="F92" i="2"/>
  <c r="F91" i="2"/>
  <c r="F82" i="2"/>
  <c r="F90" i="2"/>
  <c r="F88" i="2"/>
  <c r="F87" i="2"/>
  <c r="F86" i="2"/>
  <c r="F85" i="2"/>
  <c r="F84" i="2"/>
  <c r="F83" i="2"/>
  <c r="F80" i="2"/>
  <c r="F79" i="2"/>
  <c r="F78" i="2"/>
  <c r="F77" i="2"/>
  <c r="F75" i="2"/>
  <c r="F76" i="2"/>
  <c r="F72" i="2"/>
  <c r="F71" i="2"/>
  <c r="F81" i="2"/>
  <c r="F70" i="2"/>
  <c r="F69" i="2"/>
  <c r="F68" i="2"/>
  <c r="F89" i="2"/>
  <c r="F74" i="2"/>
  <c r="F73" i="2"/>
  <c r="F93" i="2"/>
  <c r="F61" i="2"/>
  <c r="F59" i="2"/>
  <c r="F56" i="2"/>
  <c r="F67" i="2"/>
  <c r="F66" i="2"/>
  <c r="F64" i="2"/>
  <c r="F63" i="2"/>
  <c r="F62" i="2"/>
  <c r="F60" i="2"/>
  <c r="F58" i="2"/>
  <c r="F55" i="2"/>
  <c r="F54" i="2"/>
  <c r="F53" i="2"/>
  <c r="F51" i="2"/>
  <c r="F52" i="2"/>
  <c r="F65" i="2"/>
  <c r="F57" i="2"/>
  <c r="F50" i="2"/>
  <c r="F49" i="2"/>
  <c r="F48" i="2"/>
  <c r="J61" i="2"/>
  <c r="J59" i="2"/>
  <c r="J56" i="2"/>
  <c r="J67" i="2"/>
  <c r="J66" i="2"/>
  <c r="J64" i="2"/>
  <c r="J63" i="2"/>
  <c r="J62" i="2"/>
  <c r="J60" i="2"/>
  <c r="J58" i="2"/>
  <c r="J55" i="2"/>
  <c r="J54" i="2"/>
  <c r="J53" i="2"/>
  <c r="J51" i="2"/>
  <c r="J52" i="2"/>
  <c r="J65" i="2"/>
  <c r="J57" i="2"/>
  <c r="J50" i="2"/>
  <c r="J49" i="2"/>
  <c r="J30" i="2"/>
  <c r="J42" i="2"/>
  <c r="J41" i="2"/>
  <c r="J36" i="2"/>
  <c r="J38" i="2"/>
  <c r="J37" i="2"/>
  <c r="J40" i="2"/>
  <c r="J39" i="2"/>
  <c r="J35" i="2"/>
  <c r="J34" i="2"/>
  <c r="J33" i="2"/>
  <c r="J32" i="2"/>
  <c r="J31" i="2"/>
  <c r="J29" i="2"/>
  <c r="J28" i="2"/>
  <c r="J27" i="2"/>
  <c r="J43" i="2"/>
  <c r="J44" i="2"/>
  <c r="F30" i="2"/>
  <c r="F42" i="2"/>
  <c r="F41" i="2"/>
  <c r="F36" i="2"/>
  <c r="F38" i="2"/>
  <c r="F37" i="2"/>
  <c r="F40" i="2"/>
  <c r="F39" i="2"/>
  <c r="F35" i="2"/>
  <c r="F34" i="2"/>
  <c r="F33" i="2"/>
  <c r="F32" i="2"/>
  <c r="F31" i="2"/>
  <c r="F29" i="2"/>
  <c r="F28" i="2"/>
  <c r="F27" i="2"/>
  <c r="F43" i="2"/>
  <c r="F44" i="2"/>
  <c r="J25" i="2"/>
  <c r="J24" i="2"/>
  <c r="J23" i="2"/>
  <c r="J22" i="2"/>
  <c r="J21" i="2"/>
  <c r="J20" i="2"/>
  <c r="J19" i="2"/>
  <c r="J17" i="2"/>
  <c r="J16" i="2"/>
  <c r="J18" i="2"/>
  <c r="F25" i="2"/>
  <c r="F24" i="2"/>
  <c r="F23" i="2"/>
  <c r="F22" i="2"/>
  <c r="F21" i="2"/>
  <c r="F20" i="2"/>
  <c r="F19" i="2"/>
  <c r="F17" i="2"/>
  <c r="F16" i="2"/>
  <c r="F18" i="2"/>
  <c r="J15" i="2"/>
  <c r="J13" i="2"/>
  <c r="J12" i="2"/>
  <c r="J11" i="2"/>
  <c r="J9" i="2"/>
  <c r="J7" i="2"/>
  <c r="J6" i="2"/>
  <c r="J8" i="2"/>
  <c r="J5" i="2"/>
  <c r="J4" i="2"/>
  <c r="J3" i="2"/>
  <c r="J2" i="2"/>
  <c r="J14" i="2"/>
  <c r="F14" i="2"/>
  <c r="F15" i="2"/>
  <c r="F13" i="2"/>
  <c r="F12" i="2"/>
  <c r="F11" i="2"/>
  <c r="F9" i="2"/>
  <c r="F7" i="2"/>
  <c r="F6" i="2"/>
  <c r="F8" i="2"/>
  <c r="F5" i="2"/>
  <c r="F4" i="2"/>
  <c r="F3" i="2"/>
  <c r="F2" i="2"/>
  <c r="I343" i="2"/>
  <c r="I339" i="2"/>
  <c r="I341" i="2"/>
  <c r="I342" i="2"/>
  <c r="I340" i="2"/>
  <c r="I337" i="2"/>
  <c r="I345" i="2"/>
  <c r="I336" i="2"/>
  <c r="I334" i="2"/>
  <c r="I333" i="2"/>
  <c r="I330" i="2"/>
  <c r="I344" i="2"/>
  <c r="I332" i="2"/>
  <c r="I335" i="2"/>
  <c r="I331" i="2"/>
  <c r="I338" i="2"/>
  <c r="I329" i="2"/>
  <c r="I346" i="2"/>
  <c r="I328" i="2"/>
  <c r="I327" i="2"/>
  <c r="I326" i="2"/>
  <c r="I325" i="2"/>
  <c r="I324" i="2"/>
  <c r="I322" i="2"/>
  <c r="I321" i="2"/>
  <c r="I320" i="2"/>
  <c r="I311" i="2"/>
  <c r="I319" i="2"/>
  <c r="I317" i="2"/>
  <c r="I316" i="2"/>
  <c r="I315" i="2"/>
  <c r="I314" i="2"/>
  <c r="I313" i="2"/>
  <c r="I312" i="2"/>
  <c r="I310" i="2"/>
  <c r="I323" i="2"/>
  <c r="I309" i="2"/>
  <c r="I308" i="2"/>
  <c r="I318" i="2"/>
  <c r="I307" i="2"/>
  <c r="I300" i="2"/>
  <c r="I306" i="2"/>
  <c r="I304" i="2"/>
  <c r="I302" i="2"/>
  <c r="I301" i="2"/>
  <c r="I298" i="2"/>
  <c r="I299" i="2"/>
  <c r="I297" i="2"/>
  <c r="I296" i="2"/>
  <c r="I305" i="2"/>
  <c r="I303" i="2"/>
  <c r="I295" i="2"/>
  <c r="I294" i="2"/>
  <c r="I292" i="2"/>
  <c r="I291" i="2"/>
  <c r="I290" i="2"/>
  <c r="I289" i="2"/>
  <c r="I288" i="2"/>
  <c r="I287" i="2"/>
  <c r="I286" i="2"/>
  <c r="I285" i="2"/>
  <c r="I293" i="2"/>
  <c r="I283" i="2"/>
  <c r="I281" i="2"/>
  <c r="I280" i="2"/>
  <c r="I278" i="2"/>
  <c r="I276" i="2"/>
  <c r="I275" i="2"/>
  <c r="I282" i="2"/>
  <c r="I273" i="2"/>
  <c r="I274" i="2"/>
  <c r="I272" i="2"/>
  <c r="I271" i="2"/>
  <c r="I270" i="2"/>
  <c r="I269" i="2"/>
  <c r="I267" i="2"/>
  <c r="I268" i="2"/>
  <c r="I266" i="2"/>
  <c r="I279" i="2"/>
  <c r="I277" i="2"/>
  <c r="I284" i="2"/>
  <c r="I263" i="2"/>
  <c r="I262" i="2"/>
  <c r="I261" i="2"/>
  <c r="I249" i="2"/>
  <c r="I260" i="2"/>
  <c r="I259" i="2"/>
  <c r="I257" i="2"/>
  <c r="I258" i="2"/>
  <c r="I256" i="2"/>
  <c r="I255" i="2"/>
  <c r="I254" i="2"/>
  <c r="I246" i="2"/>
  <c r="I265" i="2"/>
  <c r="I253" i="2"/>
  <c r="I252" i="2"/>
  <c r="I251" i="2"/>
  <c r="I250" i="2"/>
  <c r="I248" i="2"/>
  <c r="I247" i="2"/>
  <c r="I245" i="2"/>
  <c r="I244" i="2"/>
  <c r="I243" i="2"/>
  <c r="I242" i="2"/>
  <c r="I264" i="2"/>
  <c r="I239" i="2"/>
  <c r="I238" i="2"/>
  <c r="I240" i="2"/>
  <c r="I237" i="2"/>
  <c r="I236" i="2"/>
  <c r="I235" i="2"/>
  <c r="I234" i="2"/>
  <c r="I233" i="2"/>
  <c r="I232" i="2"/>
  <c r="I241" i="2"/>
  <c r="I230" i="2"/>
  <c r="I229" i="2"/>
  <c r="I228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27" i="2"/>
  <c r="I213" i="2"/>
  <c r="I231" i="2"/>
  <c r="I211" i="2"/>
  <c r="I206" i="2"/>
  <c r="I202" i="2"/>
  <c r="I210" i="2"/>
  <c r="I209" i="2"/>
  <c r="I194" i="2"/>
  <c r="I189" i="2"/>
  <c r="I208" i="2"/>
  <c r="I207" i="2"/>
  <c r="I191" i="2"/>
  <c r="I205" i="2"/>
  <c r="I204" i="2"/>
  <c r="I203" i="2"/>
  <c r="I201" i="2"/>
  <c r="I199" i="2"/>
  <c r="I200" i="2"/>
  <c r="I186" i="2"/>
  <c r="I185" i="2"/>
  <c r="I198" i="2"/>
  <c r="I197" i="2"/>
  <c r="I196" i="2"/>
  <c r="I193" i="2"/>
  <c r="I192" i="2"/>
  <c r="I190" i="2"/>
  <c r="I188" i="2"/>
  <c r="I195" i="2"/>
  <c r="I187" i="2"/>
  <c r="I212" i="2"/>
  <c r="I176" i="2"/>
  <c r="I184" i="2"/>
  <c r="I183" i="2"/>
  <c r="I181" i="2"/>
  <c r="I161" i="2"/>
  <c r="I180" i="2"/>
  <c r="I179" i="2"/>
  <c r="I160" i="2"/>
  <c r="I178" i="2"/>
  <c r="I175" i="2"/>
  <c r="I173" i="2"/>
  <c r="I172" i="2"/>
  <c r="I171" i="2"/>
  <c r="I169" i="2"/>
  <c r="I170" i="2"/>
  <c r="I168" i="2"/>
  <c r="I167" i="2"/>
  <c r="I166" i="2"/>
  <c r="I182" i="2"/>
  <c r="I164" i="2"/>
  <c r="I165" i="2"/>
  <c r="I162" i="2"/>
  <c r="I163" i="2"/>
  <c r="I159" i="2"/>
  <c r="I158" i="2"/>
  <c r="I157" i="2"/>
  <c r="I156" i="2"/>
  <c r="I155" i="2"/>
  <c r="I154" i="2"/>
  <c r="I174" i="2"/>
  <c r="I153" i="2"/>
  <c r="I152" i="2"/>
  <c r="I177" i="2"/>
  <c r="I150" i="2"/>
  <c r="I149" i="2"/>
  <c r="I146" i="2"/>
  <c r="I144" i="2"/>
  <c r="I143" i="2"/>
  <c r="I141" i="2"/>
  <c r="I119" i="2"/>
  <c r="I140" i="2"/>
  <c r="I148" i="2"/>
  <c r="I147" i="2"/>
  <c r="I142" i="2"/>
  <c r="I139" i="2"/>
  <c r="I138" i="2"/>
  <c r="I137" i="2"/>
  <c r="I136" i="2"/>
  <c r="I135" i="2"/>
  <c r="I134" i="2"/>
  <c r="I133" i="2"/>
  <c r="I130" i="2"/>
  <c r="I131" i="2"/>
  <c r="I129" i="2"/>
  <c r="I127" i="2"/>
  <c r="I126" i="2"/>
  <c r="I125" i="2"/>
  <c r="I124" i="2"/>
  <c r="I122" i="2"/>
  <c r="I120" i="2"/>
  <c r="I121" i="2"/>
  <c r="I132" i="2"/>
  <c r="I145" i="2"/>
  <c r="I128" i="2"/>
  <c r="I123" i="2"/>
  <c r="I118" i="2"/>
  <c r="I116" i="2"/>
  <c r="I117" i="2"/>
  <c r="I115" i="2"/>
  <c r="I151" i="2"/>
  <c r="I113" i="2"/>
  <c r="I112" i="2"/>
  <c r="I111" i="2"/>
  <c r="I110" i="2"/>
  <c r="I103" i="2"/>
  <c r="I109" i="2"/>
  <c r="I108" i="2"/>
  <c r="I107" i="2"/>
  <c r="I106" i="2"/>
  <c r="I105" i="2"/>
  <c r="I104" i="2"/>
  <c r="I102" i="2"/>
  <c r="I99" i="2"/>
  <c r="I98" i="2"/>
  <c r="I97" i="2"/>
  <c r="I101" i="2"/>
  <c r="I100" i="2"/>
  <c r="I96" i="2"/>
  <c r="I95" i="2"/>
  <c r="I94" i="2"/>
  <c r="I114" i="2"/>
  <c r="H114" i="2"/>
  <c r="I92" i="2"/>
  <c r="I91" i="2"/>
  <c r="I82" i="2"/>
  <c r="I90" i="2"/>
  <c r="I88" i="2"/>
  <c r="I87" i="2"/>
  <c r="I86" i="2"/>
  <c r="I85" i="2"/>
  <c r="I84" i="2"/>
  <c r="I83" i="2"/>
  <c r="I80" i="2"/>
  <c r="I79" i="2"/>
  <c r="I78" i="2"/>
  <c r="I77" i="2"/>
  <c r="I75" i="2"/>
  <c r="I76" i="2"/>
  <c r="I72" i="2"/>
  <c r="I71" i="2"/>
  <c r="I81" i="2"/>
  <c r="I70" i="2"/>
  <c r="I69" i="2"/>
  <c r="I68" i="2"/>
  <c r="I89" i="2"/>
  <c r="I74" i="2"/>
  <c r="I73" i="2"/>
  <c r="I93" i="2"/>
  <c r="I61" i="2"/>
  <c r="I59" i="2"/>
  <c r="I56" i="2"/>
  <c r="I67" i="2"/>
  <c r="I66" i="2"/>
  <c r="I64" i="2"/>
  <c r="I63" i="2"/>
  <c r="I62" i="2"/>
  <c r="I60" i="2"/>
  <c r="I58" i="2"/>
  <c r="I55" i="2"/>
  <c r="I54" i="2"/>
  <c r="I53" i="2"/>
  <c r="I51" i="2"/>
  <c r="I52" i="2"/>
  <c r="I65" i="2"/>
  <c r="I57" i="2"/>
  <c r="I50" i="2"/>
  <c r="I49" i="2"/>
  <c r="I48" i="2"/>
  <c r="I30" i="2"/>
  <c r="I42" i="2"/>
  <c r="I41" i="2"/>
  <c r="I36" i="2"/>
  <c r="I38" i="2"/>
  <c r="I37" i="2"/>
  <c r="I40" i="2"/>
  <c r="I39" i="2"/>
  <c r="I35" i="2"/>
  <c r="I34" i="2"/>
  <c r="I33" i="2"/>
  <c r="I32" i="2"/>
  <c r="I31" i="2"/>
  <c r="I28" i="2"/>
  <c r="I27" i="2"/>
  <c r="I43" i="2"/>
  <c r="I44" i="2"/>
  <c r="I25" i="2"/>
  <c r="I24" i="2"/>
  <c r="I23" i="2"/>
  <c r="I22" i="2"/>
  <c r="I21" i="2"/>
  <c r="I20" i="2"/>
  <c r="I19" i="2"/>
  <c r="I17" i="2"/>
  <c r="I16" i="2"/>
  <c r="I18" i="2"/>
  <c r="I15" i="2"/>
  <c r="I13" i="2"/>
  <c r="I12" i="2"/>
  <c r="I11" i="2"/>
  <c r="I9" i="2"/>
  <c r="I7" i="2"/>
  <c r="I6" i="2"/>
  <c r="I8" i="2"/>
  <c r="I5" i="2"/>
  <c r="I4" i="2"/>
  <c r="I3" i="2"/>
  <c r="I2" i="2"/>
  <c r="I14" i="2"/>
  <c r="H343" i="2"/>
  <c r="H339" i="2"/>
  <c r="H341" i="2"/>
  <c r="H342" i="2"/>
  <c r="H340" i="2"/>
  <c r="H337" i="2"/>
  <c r="H345" i="2"/>
  <c r="H336" i="2"/>
  <c r="H334" i="2"/>
  <c r="H333" i="2"/>
  <c r="H330" i="2"/>
  <c r="H344" i="2"/>
  <c r="H332" i="2"/>
  <c r="H335" i="2"/>
  <c r="H331" i="2"/>
  <c r="H338" i="2"/>
  <c r="H329" i="2"/>
  <c r="H346" i="2"/>
  <c r="H328" i="2"/>
  <c r="H327" i="2"/>
  <c r="H326" i="2"/>
  <c r="H325" i="2"/>
  <c r="H324" i="2"/>
  <c r="H322" i="2"/>
  <c r="H321" i="2"/>
  <c r="H320" i="2"/>
  <c r="H311" i="2"/>
  <c r="H319" i="2"/>
  <c r="H317" i="2"/>
  <c r="H316" i="2"/>
  <c r="H315" i="2"/>
  <c r="H314" i="2"/>
  <c r="H313" i="2"/>
  <c r="H312" i="2"/>
  <c r="H310" i="2"/>
  <c r="H323" i="2"/>
  <c r="H309" i="2"/>
  <c r="H308" i="2"/>
  <c r="H318" i="2"/>
  <c r="H307" i="2"/>
  <c r="H300" i="2"/>
  <c r="H306" i="2"/>
  <c r="H304" i="2"/>
  <c r="H302" i="2"/>
  <c r="H301" i="2"/>
  <c r="H298" i="2"/>
  <c r="H299" i="2"/>
  <c r="H297" i="2"/>
  <c r="H296" i="2"/>
  <c r="H305" i="2"/>
  <c r="H303" i="2"/>
  <c r="H295" i="2"/>
  <c r="H294" i="2"/>
  <c r="H292" i="2"/>
  <c r="H291" i="2"/>
  <c r="H290" i="2"/>
  <c r="H289" i="2"/>
  <c r="H288" i="2"/>
  <c r="H287" i="2"/>
  <c r="H286" i="2"/>
  <c r="H285" i="2"/>
  <c r="H293" i="2"/>
  <c r="H283" i="2"/>
  <c r="H281" i="2"/>
  <c r="H280" i="2"/>
  <c r="H278" i="2"/>
  <c r="H276" i="2"/>
  <c r="H275" i="2"/>
  <c r="H282" i="2"/>
  <c r="H273" i="2"/>
  <c r="H274" i="2"/>
  <c r="H272" i="2"/>
  <c r="H271" i="2"/>
  <c r="H270" i="2"/>
  <c r="H269" i="2"/>
  <c r="H267" i="2"/>
  <c r="H268" i="2"/>
  <c r="H266" i="2"/>
  <c r="H279" i="2"/>
  <c r="H277" i="2"/>
  <c r="H284" i="2"/>
  <c r="H263" i="2"/>
  <c r="H262" i="2"/>
  <c r="H261" i="2"/>
  <c r="H249" i="2"/>
  <c r="H260" i="2"/>
  <c r="H259" i="2"/>
  <c r="H257" i="2"/>
  <c r="H258" i="2"/>
  <c r="H256" i="2"/>
  <c r="H255" i="2"/>
  <c r="H254" i="2"/>
  <c r="H246" i="2"/>
  <c r="H265" i="2"/>
  <c r="H253" i="2"/>
  <c r="H252" i="2"/>
  <c r="H251" i="2"/>
  <c r="H250" i="2"/>
  <c r="H248" i="2"/>
  <c r="H247" i="2"/>
  <c r="H245" i="2"/>
  <c r="H244" i="2"/>
  <c r="H243" i="2"/>
  <c r="H242" i="2"/>
  <c r="H264" i="2"/>
  <c r="H239" i="2"/>
  <c r="H238" i="2"/>
  <c r="H240" i="2"/>
  <c r="H237" i="2"/>
  <c r="H236" i="2"/>
  <c r="H235" i="2"/>
  <c r="H234" i="2"/>
  <c r="H233" i="2"/>
  <c r="H232" i="2"/>
  <c r="H241" i="2"/>
  <c r="H230" i="2"/>
  <c r="H229" i="2"/>
  <c r="H228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27" i="2"/>
  <c r="H213" i="2"/>
  <c r="H231" i="2"/>
  <c r="H187" i="2"/>
  <c r="H211" i="2"/>
  <c r="H206" i="2"/>
  <c r="H202" i="2"/>
  <c r="H210" i="2"/>
  <c r="H209" i="2"/>
  <c r="H194" i="2"/>
  <c r="H189" i="2"/>
  <c r="H208" i="2"/>
  <c r="H207" i="2"/>
  <c r="H191" i="2"/>
  <c r="H205" i="2"/>
  <c r="H204" i="2"/>
  <c r="H203" i="2"/>
  <c r="H201" i="2"/>
  <c r="H199" i="2"/>
  <c r="H200" i="2"/>
  <c r="H186" i="2"/>
  <c r="H185" i="2"/>
  <c r="H198" i="2"/>
  <c r="H197" i="2"/>
  <c r="H196" i="2"/>
  <c r="H193" i="2"/>
  <c r="H192" i="2"/>
  <c r="H190" i="2"/>
  <c r="H188" i="2"/>
  <c r="H195" i="2"/>
  <c r="H212" i="2"/>
  <c r="H176" i="2"/>
  <c r="H184" i="2"/>
  <c r="H183" i="2"/>
  <c r="H181" i="2"/>
  <c r="H161" i="2"/>
  <c r="H180" i="2"/>
  <c r="H179" i="2"/>
  <c r="H160" i="2"/>
  <c r="H178" i="2"/>
  <c r="H175" i="2"/>
  <c r="H173" i="2"/>
  <c r="H172" i="2"/>
  <c r="H171" i="2"/>
  <c r="H169" i="2"/>
  <c r="H170" i="2"/>
  <c r="H168" i="2"/>
  <c r="H167" i="2"/>
  <c r="H166" i="2"/>
  <c r="H182" i="2"/>
  <c r="H164" i="2"/>
  <c r="H165" i="2"/>
  <c r="H162" i="2"/>
  <c r="H163" i="2"/>
  <c r="H159" i="2"/>
  <c r="H158" i="2"/>
  <c r="H157" i="2"/>
  <c r="H156" i="2"/>
  <c r="H155" i="2"/>
  <c r="H154" i="2"/>
  <c r="H174" i="2"/>
  <c r="H153" i="2"/>
  <c r="H152" i="2"/>
  <c r="H177" i="2"/>
  <c r="H150" i="2"/>
  <c r="H149" i="2"/>
  <c r="H146" i="2"/>
  <c r="H144" i="2"/>
  <c r="H143" i="2"/>
  <c r="H141" i="2"/>
  <c r="H119" i="2"/>
  <c r="H140" i="2"/>
  <c r="H148" i="2"/>
  <c r="H147" i="2"/>
  <c r="H142" i="2"/>
  <c r="H139" i="2"/>
  <c r="H138" i="2"/>
  <c r="H137" i="2"/>
  <c r="H136" i="2"/>
  <c r="H135" i="2"/>
  <c r="H134" i="2"/>
  <c r="H133" i="2"/>
  <c r="H130" i="2"/>
  <c r="H131" i="2"/>
  <c r="H129" i="2"/>
  <c r="H127" i="2"/>
  <c r="H126" i="2"/>
  <c r="H125" i="2"/>
  <c r="H124" i="2"/>
  <c r="H122" i="2"/>
  <c r="H120" i="2"/>
  <c r="H121" i="2"/>
  <c r="H132" i="2"/>
  <c r="H145" i="2"/>
  <c r="H128" i="2"/>
  <c r="H123" i="2"/>
  <c r="H118" i="2"/>
  <c r="H116" i="2"/>
  <c r="H117" i="2"/>
  <c r="H115" i="2"/>
  <c r="H151" i="2"/>
  <c r="H113" i="2"/>
  <c r="H112" i="2"/>
  <c r="H111" i="2"/>
  <c r="H110" i="2"/>
  <c r="H103" i="2"/>
  <c r="H109" i="2"/>
  <c r="H108" i="2"/>
  <c r="H107" i="2"/>
  <c r="H106" i="2"/>
  <c r="H105" i="2"/>
  <c r="H104" i="2"/>
  <c r="H102" i="2"/>
  <c r="H99" i="2"/>
  <c r="H98" i="2"/>
  <c r="H97" i="2"/>
  <c r="H101" i="2"/>
  <c r="H100" i="2"/>
  <c r="H96" i="2"/>
  <c r="H95" i="2"/>
  <c r="H94" i="2"/>
  <c r="H92" i="2"/>
  <c r="H91" i="2"/>
  <c r="H82" i="2"/>
  <c r="H90" i="2"/>
  <c r="H88" i="2"/>
  <c r="H87" i="2"/>
  <c r="H86" i="2"/>
  <c r="H85" i="2"/>
  <c r="H84" i="2"/>
  <c r="H83" i="2"/>
  <c r="H80" i="2"/>
  <c r="H79" i="2"/>
  <c r="H78" i="2"/>
  <c r="H77" i="2"/>
  <c r="H75" i="2"/>
  <c r="H76" i="2"/>
  <c r="H72" i="2"/>
  <c r="H71" i="2"/>
  <c r="H81" i="2"/>
  <c r="H70" i="2"/>
  <c r="H69" i="2"/>
  <c r="H68" i="2"/>
  <c r="H89" i="2"/>
  <c r="H74" i="2"/>
  <c r="H73" i="2"/>
  <c r="H93" i="2"/>
  <c r="H61" i="2"/>
  <c r="H56" i="2"/>
  <c r="H67" i="2"/>
  <c r="H66" i="2"/>
  <c r="H64" i="2"/>
  <c r="H63" i="2"/>
  <c r="H62" i="2"/>
  <c r="H60" i="2"/>
  <c r="H58" i="2"/>
  <c r="H55" i="2"/>
  <c r="H54" i="2"/>
  <c r="H53" i="2"/>
  <c r="H51" i="2"/>
  <c r="H52" i="2"/>
  <c r="H65" i="2"/>
  <c r="H57" i="2"/>
  <c r="H50" i="2"/>
  <c r="H49" i="2"/>
  <c r="H48" i="2"/>
  <c r="H30" i="2"/>
  <c r="H42" i="2"/>
  <c r="H41" i="2"/>
  <c r="H36" i="2"/>
  <c r="H38" i="2"/>
  <c r="H37" i="2"/>
  <c r="H40" i="2"/>
  <c r="H39" i="2"/>
  <c r="H35" i="2"/>
  <c r="H34" i="2"/>
  <c r="H33" i="2"/>
  <c r="H32" i="2"/>
  <c r="H31" i="2"/>
  <c r="H29" i="2"/>
  <c r="H28" i="2"/>
  <c r="H27" i="2"/>
  <c r="H43" i="2"/>
  <c r="H44" i="2"/>
  <c r="H16" i="2"/>
  <c r="H25" i="2"/>
  <c r="H24" i="2"/>
  <c r="H23" i="2"/>
  <c r="H22" i="2"/>
  <c r="H21" i="2"/>
  <c r="H20" i="2"/>
  <c r="H19" i="2"/>
  <c r="H17" i="2"/>
  <c r="H18" i="2"/>
  <c r="H15" i="2"/>
  <c r="H13" i="2"/>
  <c r="H12" i="2"/>
  <c r="H11" i="2"/>
  <c r="H9" i="2"/>
  <c r="H7" i="2"/>
  <c r="H6" i="2"/>
  <c r="H8" i="2"/>
  <c r="H5" i="2"/>
  <c r="H4" i="2"/>
  <c r="H3" i="2"/>
  <c r="H2" i="2"/>
  <c r="H14" i="2"/>
  <c r="G343" i="2"/>
  <c r="G339" i="2"/>
  <c r="G341" i="2"/>
  <c r="G342" i="2"/>
  <c r="G340" i="2"/>
  <c r="G337" i="2"/>
  <c r="G345" i="2"/>
  <c r="G336" i="2"/>
  <c r="G334" i="2"/>
  <c r="G333" i="2"/>
  <c r="G330" i="2"/>
  <c r="G344" i="2"/>
  <c r="G332" i="2"/>
  <c r="G335" i="2"/>
  <c r="G331" i="2"/>
  <c r="G338" i="2"/>
  <c r="G329" i="2"/>
  <c r="G346" i="2"/>
  <c r="G328" i="2"/>
  <c r="G327" i="2"/>
  <c r="G326" i="2"/>
  <c r="G325" i="2"/>
  <c r="G324" i="2"/>
  <c r="G322" i="2"/>
  <c r="G321" i="2"/>
  <c r="G320" i="2"/>
  <c r="G311" i="2"/>
  <c r="G319" i="2"/>
  <c r="G317" i="2"/>
  <c r="G316" i="2"/>
  <c r="G315" i="2"/>
  <c r="G314" i="2"/>
  <c r="G313" i="2"/>
  <c r="G312" i="2"/>
  <c r="G310" i="2"/>
  <c r="G323" i="2"/>
  <c r="G309" i="2"/>
  <c r="G308" i="2"/>
  <c r="G318" i="2"/>
  <c r="G307" i="2"/>
  <c r="G300" i="2"/>
  <c r="G306" i="2"/>
  <c r="G304" i="2"/>
  <c r="G302" i="2"/>
  <c r="G301" i="2"/>
  <c r="G298" i="2"/>
  <c r="G299" i="2"/>
  <c r="G297" i="2"/>
  <c r="G296" i="2"/>
  <c r="G305" i="2"/>
  <c r="G303" i="2"/>
  <c r="G295" i="2"/>
  <c r="G294" i="2"/>
  <c r="G292" i="2"/>
  <c r="G291" i="2"/>
  <c r="G290" i="2"/>
  <c r="G289" i="2"/>
  <c r="G288" i="2"/>
  <c r="G287" i="2"/>
  <c r="G286" i="2"/>
  <c r="G285" i="2"/>
  <c r="G293" i="2"/>
  <c r="G277" i="2"/>
  <c r="G266" i="2"/>
  <c r="G268" i="2"/>
  <c r="G267" i="2"/>
  <c r="G269" i="2"/>
  <c r="G271" i="2"/>
  <c r="G272" i="2"/>
  <c r="G274" i="2"/>
  <c r="G273" i="2"/>
  <c r="G282" i="2"/>
  <c r="G275" i="2"/>
  <c r="G278" i="2"/>
  <c r="G280" i="2"/>
  <c r="G281" i="2"/>
  <c r="G283" i="2"/>
  <c r="G284" i="2"/>
  <c r="G263" i="2"/>
  <c r="G262" i="2"/>
  <c r="G261" i="2"/>
  <c r="G249" i="2"/>
  <c r="G260" i="2"/>
  <c r="G259" i="2"/>
  <c r="G257" i="2"/>
  <c r="G258" i="2"/>
  <c r="G256" i="2"/>
  <c r="G255" i="2"/>
  <c r="G254" i="2"/>
  <c r="G246" i="2"/>
  <c r="G265" i="2"/>
  <c r="G253" i="2"/>
  <c r="G252" i="2"/>
  <c r="G251" i="2"/>
  <c r="G250" i="2"/>
  <c r="G248" i="2"/>
  <c r="G247" i="2"/>
  <c r="G245" i="2"/>
  <c r="G244" i="2"/>
  <c r="G243" i="2"/>
  <c r="G242" i="2"/>
  <c r="G264" i="2"/>
  <c r="G239" i="2"/>
  <c r="G238" i="2"/>
  <c r="G240" i="2"/>
  <c r="G237" i="2"/>
  <c r="G236" i="2"/>
  <c r="G235" i="2"/>
  <c r="G234" i="2"/>
  <c r="G233" i="2"/>
  <c r="G232" i="2"/>
  <c r="G241" i="2"/>
  <c r="G230" i="2"/>
  <c r="G229" i="2"/>
  <c r="G228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27" i="2"/>
  <c r="G213" i="2"/>
  <c r="G231" i="2"/>
  <c r="G197" i="2"/>
  <c r="G196" i="2"/>
  <c r="G193" i="2"/>
  <c r="G192" i="2"/>
  <c r="G190" i="2"/>
  <c r="G188" i="2"/>
  <c r="G195" i="2"/>
  <c r="G187" i="2"/>
  <c r="G211" i="2"/>
  <c r="G206" i="2"/>
  <c r="G202" i="2"/>
  <c r="G210" i="2"/>
  <c r="G209" i="2"/>
  <c r="G194" i="2"/>
  <c r="G189" i="2"/>
  <c r="G208" i="2"/>
  <c r="G207" i="2"/>
  <c r="G191" i="2"/>
  <c r="G205" i="2"/>
  <c r="G204" i="2"/>
  <c r="G203" i="2"/>
  <c r="G201" i="2"/>
  <c r="G199" i="2"/>
  <c r="G200" i="2"/>
  <c r="G186" i="2"/>
  <c r="G185" i="2"/>
  <c r="G198" i="2"/>
  <c r="G212" i="2"/>
  <c r="G176" i="2"/>
  <c r="G184" i="2"/>
  <c r="G183" i="2"/>
  <c r="G181" i="2"/>
  <c r="G161" i="2"/>
  <c r="G180" i="2"/>
  <c r="G179" i="2"/>
  <c r="G160" i="2"/>
  <c r="G178" i="2"/>
  <c r="G175" i="2"/>
  <c r="G173" i="2"/>
  <c r="G172" i="2"/>
  <c r="G171" i="2"/>
  <c r="G169" i="2"/>
  <c r="G170" i="2"/>
  <c r="G168" i="2"/>
  <c r="G167" i="2"/>
  <c r="G166" i="2"/>
  <c r="G182" i="2"/>
  <c r="G164" i="2"/>
  <c r="G165" i="2"/>
  <c r="G162" i="2"/>
  <c r="G163" i="2"/>
  <c r="G159" i="2"/>
  <c r="G158" i="2"/>
  <c r="G157" i="2"/>
  <c r="G156" i="2"/>
  <c r="G155" i="2"/>
  <c r="G154" i="2"/>
  <c r="G174" i="2"/>
  <c r="G153" i="2"/>
  <c r="G152" i="2"/>
  <c r="G177" i="2"/>
  <c r="G150" i="2"/>
  <c r="G149" i="2"/>
  <c r="G146" i="2"/>
  <c r="G144" i="2"/>
  <c r="G143" i="2"/>
  <c r="G141" i="2"/>
  <c r="G119" i="2"/>
  <c r="G140" i="2"/>
  <c r="G148" i="2"/>
  <c r="G147" i="2"/>
  <c r="G142" i="2"/>
  <c r="G139" i="2"/>
  <c r="G138" i="2"/>
  <c r="G137" i="2"/>
  <c r="G136" i="2"/>
  <c r="G135" i="2"/>
  <c r="G134" i="2"/>
  <c r="G133" i="2"/>
  <c r="G130" i="2"/>
  <c r="G131" i="2"/>
  <c r="G129" i="2"/>
  <c r="G127" i="2"/>
  <c r="G126" i="2"/>
  <c r="G125" i="2"/>
  <c r="G124" i="2"/>
  <c r="G122" i="2"/>
  <c r="G120" i="2"/>
  <c r="G121" i="2"/>
  <c r="G132" i="2"/>
  <c r="G145" i="2"/>
  <c r="G128" i="2"/>
  <c r="G123" i="2"/>
  <c r="G118" i="2"/>
  <c r="G116" i="2"/>
  <c r="G117" i="2"/>
  <c r="G115" i="2"/>
  <c r="G151" i="2"/>
  <c r="G113" i="2"/>
  <c r="G112" i="2"/>
  <c r="G111" i="2"/>
  <c r="G110" i="2"/>
  <c r="G103" i="2"/>
  <c r="G109" i="2"/>
  <c r="G108" i="2"/>
  <c r="G107" i="2"/>
  <c r="G106" i="2"/>
  <c r="G105" i="2"/>
  <c r="G104" i="2"/>
  <c r="G102" i="2"/>
  <c r="G99" i="2"/>
  <c r="G98" i="2"/>
  <c r="G97" i="2"/>
  <c r="G101" i="2"/>
  <c r="G100" i="2"/>
  <c r="G96" i="2"/>
  <c r="G95" i="2"/>
  <c r="G94" i="2"/>
  <c r="G114" i="2"/>
  <c r="G92" i="2"/>
  <c r="G91" i="2"/>
  <c r="G82" i="2"/>
  <c r="G90" i="2"/>
  <c r="G88" i="2"/>
  <c r="G87" i="2"/>
  <c r="G86" i="2"/>
  <c r="G85" i="2"/>
  <c r="G84" i="2"/>
  <c r="G83" i="2"/>
  <c r="G80" i="2"/>
  <c r="G79" i="2"/>
  <c r="G78" i="2"/>
  <c r="G77" i="2"/>
  <c r="G75" i="2"/>
  <c r="G76" i="2"/>
  <c r="G72" i="2"/>
  <c r="G71" i="2"/>
  <c r="G81" i="2"/>
  <c r="G70" i="2"/>
  <c r="G69" i="2"/>
  <c r="G68" i="2"/>
  <c r="G89" i="2"/>
  <c r="G74" i="2"/>
  <c r="G73" i="2"/>
  <c r="G93" i="2"/>
  <c r="G61" i="2"/>
  <c r="G59" i="2"/>
  <c r="G56" i="2"/>
  <c r="G67" i="2"/>
  <c r="G66" i="2"/>
  <c r="G64" i="2"/>
  <c r="G63" i="2"/>
  <c r="G62" i="2"/>
  <c r="G60" i="2"/>
  <c r="G58" i="2"/>
  <c r="G55" i="2"/>
  <c r="G54" i="2"/>
  <c r="G53" i="2"/>
  <c r="G51" i="2"/>
  <c r="G52" i="2"/>
  <c r="G65" i="2"/>
  <c r="G57" i="2"/>
  <c r="G50" i="2"/>
  <c r="G49" i="2"/>
  <c r="G48" i="2"/>
  <c r="G30" i="2"/>
  <c r="G42" i="2"/>
  <c r="G41" i="2"/>
  <c r="G36" i="2"/>
  <c r="G38" i="2"/>
  <c r="G37" i="2"/>
  <c r="G40" i="2"/>
  <c r="G39" i="2"/>
  <c r="G35" i="2"/>
  <c r="G34" i="2"/>
  <c r="G33" i="2"/>
  <c r="G32" i="2"/>
  <c r="G31" i="2"/>
  <c r="G29" i="2"/>
  <c r="G28" i="2"/>
  <c r="G27" i="2"/>
  <c r="G43" i="2"/>
  <c r="G44" i="2"/>
  <c r="G25" i="2"/>
  <c r="G24" i="2"/>
  <c r="G23" i="2"/>
  <c r="G22" i="2"/>
  <c r="G21" i="2"/>
  <c r="G20" i="2"/>
  <c r="G19" i="2"/>
  <c r="G17" i="2"/>
  <c r="G16" i="2"/>
  <c r="G18" i="2"/>
  <c r="G15" i="2"/>
  <c r="G13" i="2"/>
  <c r="G12" i="2"/>
  <c r="G11" i="2"/>
  <c r="G9" i="2"/>
  <c r="G7" i="2"/>
  <c r="G6" i="2"/>
  <c r="G8" i="2"/>
  <c r="G5" i="2"/>
  <c r="G4" i="2"/>
  <c r="G3" i="2"/>
  <c r="G2" i="2"/>
  <c r="G14" i="2"/>
  <c r="E343" i="2"/>
  <c r="E341" i="2"/>
  <c r="E342" i="2"/>
  <c r="E340" i="2"/>
  <c r="H335" i="1" s="1" a="1"/>
  <c r="E337" i="2"/>
  <c r="H339" i="1" s="1" a="1"/>
  <c r="E345" i="2"/>
  <c r="E336" i="2"/>
  <c r="E334" i="2"/>
  <c r="H344" i="1" s="1" a="1"/>
  <c r="E333" i="2"/>
  <c r="E330" i="2"/>
  <c r="E344" i="2"/>
  <c r="E332" i="2"/>
  <c r="H346" i="1" s="1" a="1"/>
  <c r="E335" i="2"/>
  <c r="E331" i="2"/>
  <c r="H347" i="1" s="1" a="1"/>
  <c r="E338" i="2"/>
  <c r="E329" i="2"/>
  <c r="H348" i="1" s="1" a="1"/>
  <c r="E346" i="2"/>
  <c r="E328" i="2"/>
  <c r="E327" i="2"/>
  <c r="E326" i="2"/>
  <c r="H311" i="1" s="1" a="1"/>
  <c r="E325" i="2"/>
  <c r="H312" i="1" s="1" a="1"/>
  <c r="E324" i="2"/>
  <c r="H313" i="1" s="1" a="1"/>
  <c r="E322" i="2"/>
  <c r="H314" i="1" s="1" a="1"/>
  <c r="E321" i="2"/>
  <c r="H315" i="1" s="1" a="1"/>
  <c r="E320" i="2"/>
  <c r="H316" i="1" s="1" a="1"/>
  <c r="E311" i="2"/>
  <c r="H317" i="1" s="1" a="1"/>
  <c r="E319" i="2"/>
  <c r="H319" i="1" s="1" a="1"/>
  <c r="E317" i="2"/>
  <c r="H320" i="1" s="1" a="1"/>
  <c r="E316" i="2"/>
  <c r="H321" i="1" s="1" a="1"/>
  <c r="E315" i="2"/>
  <c r="H326" i="1" s="1" a="1"/>
  <c r="E314" i="2"/>
  <c r="H322" i="1" s="1" a="1"/>
  <c r="E313" i="2"/>
  <c r="H324" i="1" s="1" a="1"/>
  <c r="E312" i="2"/>
  <c r="H325" i="1" s="1" a="1"/>
  <c r="E310" i="2"/>
  <c r="H327" i="1" s="1" a="1"/>
  <c r="E309" i="2"/>
  <c r="E308" i="2"/>
  <c r="E318" i="2"/>
  <c r="H329" i="1" s="1" a="1"/>
  <c r="E307" i="2"/>
  <c r="H288" i="1" s="1" a="1"/>
  <c r="E300" i="2"/>
  <c r="H296" i="1" s="1" a="1"/>
  <c r="E306" i="2"/>
  <c r="H291" i="1" s="1" a="1"/>
  <c r="E304" i="2"/>
  <c r="E302" i="2"/>
  <c r="H294" i="1" s="1" a="1"/>
  <c r="E301" i="2"/>
  <c r="H295" i="1" s="1" a="1"/>
  <c r="E298" i="2"/>
  <c r="H297" i="1" s="1" a="1"/>
  <c r="E299" i="2"/>
  <c r="E297" i="2"/>
  <c r="E296" i="2"/>
  <c r="H299" i="1" s="1" a="1"/>
  <c r="E305" i="2"/>
  <c r="E303" i="2"/>
  <c r="H293" i="1" s="1" a="1"/>
  <c r="E295" i="2"/>
  <c r="H300" i="1" s="1" a="1"/>
  <c r="E294" i="2"/>
  <c r="H301" i="1" s="1" a="1"/>
  <c r="E292" i="2"/>
  <c r="H302" i="1" s="1" a="1"/>
  <c r="E291" i="2"/>
  <c r="E290" i="2"/>
  <c r="E289" i="2"/>
  <c r="E288" i="2"/>
  <c r="E287" i="2"/>
  <c r="H305" i="1" s="1" a="1"/>
  <c r="E286" i="2"/>
  <c r="H306" i="1" s="1" a="1"/>
  <c r="E285" i="2"/>
  <c r="H307" i="1" s="1" a="1"/>
  <c r="E293" i="2"/>
  <c r="H308" i="1" s="1" a="1"/>
  <c r="E283" i="2"/>
  <c r="H270" i="1" s="1" a="1"/>
  <c r="E281" i="2"/>
  <c r="H271" i="1" s="1" a="1"/>
  <c r="E280" i="2"/>
  <c r="E278" i="2"/>
  <c r="E276" i="2"/>
  <c r="H274" i="1" s="1" a="1"/>
  <c r="E275" i="2"/>
  <c r="H275" i="1" s="1" a="1"/>
  <c r="E282" i="2"/>
  <c r="H276" i="1" s="1" a="1"/>
  <c r="E273" i="2"/>
  <c r="H277" i="1" s="1" a="1"/>
  <c r="H278" i="1" a="1"/>
  <c r="E272" i="2"/>
  <c r="H280" i="1" s="1" a="1"/>
  <c r="E271" i="2"/>
  <c r="H283" i="1" s="1" a="1"/>
  <c r="E269" i="2"/>
  <c r="E267" i="2"/>
  <c r="E268" i="2"/>
  <c r="E266" i="2"/>
  <c r="H287" i="1" s="1" a="1"/>
  <c r="E279" i="2"/>
  <c r="E277" i="2"/>
  <c r="E284" i="2"/>
  <c r="H268" i="1" s="1" a="1"/>
  <c r="E263" i="2"/>
  <c r="H244" i="1" s="1" a="1"/>
  <c r="E262" i="2"/>
  <c r="H248" i="1" s="1" a="1"/>
  <c r="E261" i="2"/>
  <c r="E249" i="2"/>
  <c r="E260" i="2"/>
  <c r="H250" i="1" s="1" a="1"/>
  <c r="E259" i="2"/>
  <c r="H251" i="1" s="1" a="1"/>
  <c r="E257" i="2"/>
  <c r="E258" i="2"/>
  <c r="E256" i="2"/>
  <c r="H253" i="1" s="1" a="1"/>
  <c r="E255" i="2"/>
  <c r="E254" i="2"/>
  <c r="E246" i="2"/>
  <c r="E265" i="2"/>
  <c r="E253" i="2"/>
  <c r="E252" i="2"/>
  <c r="H256" i="1" s="1" a="1"/>
  <c r="E251" i="2"/>
  <c r="H257" i="1" s="1" a="1"/>
  <c r="E250" i="2"/>
  <c r="H259" i="1" s="1" a="1"/>
  <c r="E248" i="2"/>
  <c r="E247" i="2"/>
  <c r="E245" i="2"/>
  <c r="H261" i="1" s="1" a="1"/>
  <c r="E244" i="2"/>
  <c r="H263" i="1" s="1" a="1"/>
  <c r="E243" i="2"/>
  <c r="H264" i="1" s="1" a="1"/>
  <c r="E242" i="2"/>
  <c r="H265" i="1" s="1" a="1"/>
  <c r="E239" i="2"/>
  <c r="H227" i="1" s="1" a="1"/>
  <c r="E238" i="2"/>
  <c r="H228" i="1" s="1" a="1"/>
  <c r="E240" i="2"/>
  <c r="H229" i="1" s="1" a="1"/>
  <c r="E237" i="2"/>
  <c r="H231" i="1" s="1" a="1"/>
  <c r="E236" i="2"/>
  <c r="E235" i="2"/>
  <c r="E234" i="2"/>
  <c r="H234" i="1" s="1" a="1"/>
  <c r="E233" i="2"/>
  <c r="H236" i="1" s="1" a="1"/>
  <c r="E232" i="2"/>
  <c r="H242" i="1" s="1" a="1"/>
  <c r="E241" i="2"/>
  <c r="H223" i="1" s="1" a="1"/>
  <c r="E230" i="2"/>
  <c r="H203" i="1" s="1" a="1"/>
  <c r="E229" i="2"/>
  <c r="H204" i="1" s="1" a="1"/>
  <c r="E228" i="2"/>
  <c r="H205" i="1" s="1" a="1"/>
  <c r="E226" i="2"/>
  <c r="H206" i="1" s="1" a="1"/>
  <c r="E225" i="2"/>
  <c r="E224" i="2"/>
  <c r="E223" i="2"/>
  <c r="H209" i="1" s="1" a="1"/>
  <c r="E222" i="2"/>
  <c r="H210" i="1" s="1" a="1"/>
  <c r="E221" i="2"/>
  <c r="H211" i="1" s="1" a="1"/>
  <c r="E220" i="2"/>
  <c r="H213" i="1" s="1" a="1"/>
  <c r="E219" i="2"/>
  <c r="H215" i="1" s="1" a="1"/>
  <c r="E218" i="2"/>
  <c r="H216" i="1" s="1" a="1"/>
  <c r="E217" i="2"/>
  <c r="E216" i="2"/>
  <c r="E215" i="2"/>
  <c r="H218" i="1" s="1" a="1"/>
  <c r="E214" i="2"/>
  <c r="H220" i="1" s="1" a="1"/>
  <c r="E227" i="2"/>
  <c r="E213" i="2"/>
  <c r="E231" i="2"/>
  <c r="H202" i="1" s="1" a="1"/>
  <c r="E211" i="2"/>
  <c r="E206" i="2"/>
  <c r="E202" i="2"/>
  <c r="E210" i="2"/>
  <c r="H180" i="1" s="1" a="1"/>
  <c r="E209" i="2"/>
  <c r="H181" i="1" s="1" a="1"/>
  <c r="E194" i="2"/>
  <c r="E189" i="2"/>
  <c r="E208" i="2"/>
  <c r="H182" i="1" s="1" a="1"/>
  <c r="E207" i="2"/>
  <c r="E191" i="2"/>
  <c r="E205" i="2"/>
  <c r="H184" i="1" s="1" a="1"/>
  <c r="E204" i="2"/>
  <c r="H185" i="1" s="1" a="1"/>
  <c r="E203" i="2"/>
  <c r="H186" i="1" s="1" a="1"/>
  <c r="E201" i="2"/>
  <c r="E199" i="2"/>
  <c r="E200" i="2"/>
  <c r="E186" i="2"/>
  <c r="E185" i="2"/>
  <c r="E198" i="2"/>
  <c r="H190" i="1" s="1" a="1"/>
  <c r="E197" i="2"/>
  <c r="H191" i="1" s="1" a="1"/>
  <c r="E196" i="2"/>
  <c r="H192" i="1" s="1" a="1"/>
  <c r="E193" i="2"/>
  <c r="H194" i="1" s="1" a="1"/>
  <c r="E192" i="2"/>
  <c r="H195" i="1" s="1" a="1"/>
  <c r="E190" i="2"/>
  <c r="H196" i="1" s="1" a="1"/>
  <c r="E188" i="2"/>
  <c r="H198" i="1" s="1" a="1"/>
  <c r="E195" i="2"/>
  <c r="E187" i="2"/>
  <c r="E212" i="2"/>
  <c r="H178" i="1" s="1" a="1"/>
  <c r="E176" i="2"/>
  <c r="E184" i="2"/>
  <c r="E183" i="2"/>
  <c r="E181" i="2"/>
  <c r="E161" i="2"/>
  <c r="E180" i="2"/>
  <c r="H159" i="1" s="1" a="1"/>
  <c r="E179" i="2"/>
  <c r="E160" i="2"/>
  <c r="E178" i="2"/>
  <c r="H161" i="1" s="1" a="1"/>
  <c r="E175" i="2"/>
  <c r="H162" i="1" s="1" a="1"/>
  <c r="E173" i="2"/>
  <c r="H163" i="1" s="1" a="1"/>
  <c r="E172" i="2"/>
  <c r="H164" i="1" s="1" a="1"/>
  <c r="E171" i="2"/>
  <c r="H165" i="1" s="1" a="1"/>
  <c r="E169" i="2"/>
  <c r="E170" i="2"/>
  <c r="E168" i="2"/>
  <c r="H167" i="1" s="1" a="1"/>
  <c r="E167" i="2"/>
  <c r="E166" i="2"/>
  <c r="E182" i="2"/>
  <c r="E164" i="2"/>
  <c r="E165" i="2"/>
  <c r="E162" i="2"/>
  <c r="H170" i="1" s="1" a="1"/>
  <c r="E163" i="2"/>
  <c r="E159" i="2"/>
  <c r="E158" i="2"/>
  <c r="H172" i="1" s="1" a="1"/>
  <c r="E157" i="2"/>
  <c r="H173" i="1" s="1" a="1"/>
  <c r="E156" i="2"/>
  <c r="E155" i="2"/>
  <c r="E154" i="2"/>
  <c r="E174" i="2"/>
  <c r="E153" i="2"/>
  <c r="E152" i="2"/>
  <c r="E177" i="2"/>
  <c r="E150" i="2"/>
  <c r="H137" i="1" s="1" a="1"/>
  <c r="E149" i="2"/>
  <c r="H138" i="1" s="1" a="1"/>
  <c r="E146" i="2"/>
  <c r="H139" i="1" s="1" a="1"/>
  <c r="E144" i="2"/>
  <c r="E143" i="2"/>
  <c r="E141" i="2"/>
  <c r="E119" i="2"/>
  <c r="E140" i="2"/>
  <c r="H142" i="1" s="1" a="1"/>
  <c r="E148" i="2"/>
  <c r="E147" i="2"/>
  <c r="E142" i="2"/>
  <c r="E139" i="2"/>
  <c r="E138" i="2"/>
  <c r="E137" i="2"/>
  <c r="E136" i="2"/>
  <c r="H144" i="1" s="1" a="1"/>
  <c r="E135" i="2"/>
  <c r="H145" i="1" s="1" a="1"/>
  <c r="E134" i="2"/>
  <c r="H146" i="1" s="1" a="1"/>
  <c r="E133" i="2"/>
  <c r="H147" i="1" s="1" a="1"/>
  <c r="E130" i="2"/>
  <c r="E131" i="2"/>
  <c r="E129" i="2"/>
  <c r="H150" i="1" s="1" a="1"/>
  <c r="E127" i="2"/>
  <c r="H151" i="1" s="1" a="1"/>
  <c r="E126" i="2"/>
  <c r="E125" i="2"/>
  <c r="H152" i="1" s="1" a="1"/>
  <c r="E124" i="2"/>
  <c r="H153" i="1" s="1" a="1"/>
  <c r="E122" i="2"/>
  <c r="H154" i="1" s="1" a="1"/>
  <c r="E120" i="2"/>
  <c r="E121" i="2"/>
  <c r="E132" i="2"/>
  <c r="H148" i="1" s="1" a="1"/>
  <c r="E145" i="2"/>
  <c r="E128" i="2"/>
  <c r="E123" i="2"/>
  <c r="E118" i="2"/>
  <c r="E116" i="2"/>
  <c r="E117" i="2"/>
  <c r="E115" i="2"/>
  <c r="E151" i="2"/>
  <c r="H136" i="1" s="1" a="1"/>
  <c r="E113" i="2"/>
  <c r="H116" i="1" s="1" a="1"/>
  <c r="E112" i="2"/>
  <c r="H117" i="1" s="1" a="1"/>
  <c r="E111" i="2"/>
  <c r="H118" i="1" s="1" a="1"/>
  <c r="E110" i="2"/>
  <c r="E103" i="2"/>
  <c r="E109" i="2"/>
  <c r="H120" i="1" s="1" a="1"/>
  <c r="E108" i="2"/>
  <c r="H124" i="1" s="1" a="1"/>
  <c r="E107" i="2"/>
  <c r="H125" i="1" s="1" a="1"/>
  <c r="E106" i="2"/>
  <c r="H126" i="1" s="1" a="1"/>
  <c r="E105" i="2"/>
  <c r="H127" i="1" s="1" a="1"/>
  <c r="E104" i="2"/>
  <c r="H128" i="1" s="1" a="1"/>
  <c r="E102" i="2"/>
  <c r="H129" i="1" s="1" a="1"/>
  <c r="E99" i="2"/>
  <c r="H130" i="1" s="1" a="1"/>
  <c r="E98" i="2"/>
  <c r="H131" i="1" s="1" a="1"/>
  <c r="E97" i="2"/>
  <c r="H132" i="1" s="1" a="1"/>
  <c r="E101" i="2"/>
  <c r="E100" i="2"/>
  <c r="E96" i="2"/>
  <c r="E95" i="2"/>
  <c r="H134" i="1" s="1" a="1"/>
  <c r="E94" i="2"/>
  <c r="H135" i="1" s="1" a="1"/>
  <c r="E114" i="2"/>
  <c r="H115" i="1" s="1" a="1"/>
  <c r="E92" i="2"/>
  <c r="H92" i="1" s="1" a="1"/>
  <c r="E91" i="2"/>
  <c r="H93" i="1" s="1" a="1"/>
  <c r="E82" i="2"/>
  <c r="E90" i="2"/>
  <c r="H94" i="1" s="1" a="1"/>
  <c r="E88" i="2"/>
  <c r="H95" i="1" s="1" a="1"/>
  <c r="E87" i="2"/>
  <c r="H96" i="1" s="1" a="1"/>
  <c r="E86" i="2"/>
  <c r="H97" i="1" s="1" a="1"/>
  <c r="E85" i="2"/>
  <c r="H98" i="1" s="1" a="1"/>
  <c r="E84" i="2"/>
  <c r="H99" i="1" s="1" a="1"/>
  <c r="E83" i="2"/>
  <c r="H100" i="1" s="1" a="1"/>
  <c r="E80" i="2"/>
  <c r="H103" i="1" s="1" a="1"/>
  <c r="E79" i="2"/>
  <c r="H104" i="1" s="1" a="1"/>
  <c r="E78" i="2"/>
  <c r="H105" i="1" s="1" a="1"/>
  <c r="E77" i="2"/>
  <c r="H106" i="1" s="1" a="1"/>
  <c r="E75" i="2"/>
  <c r="E76" i="2"/>
  <c r="E72" i="2"/>
  <c r="H109" i="1" s="1" a="1"/>
  <c r="E71" i="2"/>
  <c r="E81" i="2"/>
  <c r="E70" i="2"/>
  <c r="E69" i="2"/>
  <c r="H112" i="1" s="1" a="1"/>
  <c r="E68" i="2"/>
  <c r="H113" i="1" s="1" a="1"/>
  <c r="E89" i="2"/>
  <c r="E74" i="2"/>
  <c r="E73" i="2"/>
  <c r="E93" i="2"/>
  <c r="H91" i="1" s="1" a="1"/>
  <c r="E61" i="2"/>
  <c r="E59" i="2"/>
  <c r="E56" i="2"/>
  <c r="E67" i="2"/>
  <c r="H69" i="1" s="1" a="1"/>
  <c r="E66" i="2"/>
  <c r="H70" i="1" s="1" a="1"/>
  <c r="E64" i="2"/>
  <c r="H72" i="1" s="1" a="1"/>
  <c r="E63" i="2"/>
  <c r="H73" i="1" s="1" a="1"/>
  <c r="E62" i="2"/>
  <c r="H74" i="1" s="1" a="1"/>
  <c r="E60" i="2"/>
  <c r="H75" i="1" s="1" a="1"/>
  <c r="E58" i="2"/>
  <c r="H78" i="1" s="1" a="1"/>
  <c r="E55" i="2"/>
  <c r="H80" i="1" s="1" a="1"/>
  <c r="E54" i="2"/>
  <c r="H81" i="1" s="1" a="1"/>
  <c r="E53" i="2"/>
  <c r="E51" i="2"/>
  <c r="E52" i="2"/>
  <c r="H83" i="1" s="1" a="1"/>
  <c r="E65" i="2"/>
  <c r="H71" i="1" s="1" a="1"/>
  <c r="E57" i="2"/>
  <c r="E50" i="2"/>
  <c r="E49" i="2"/>
  <c r="H85" i="1" s="1" a="1"/>
  <c r="E48" i="2"/>
  <c r="H86" i="1" s="1" a="1"/>
  <c r="E30" i="2"/>
  <c r="E42" i="2"/>
  <c r="H52" i="1" s="1" a="1"/>
  <c r="E41" i="2"/>
  <c r="H53" i="1" s="1" a="1"/>
  <c r="E36" i="2"/>
  <c r="E38" i="2"/>
  <c r="H54" i="1" s="1" a="1"/>
  <c r="E37" i="2"/>
  <c r="H55" i="1" s="1" a="1"/>
  <c r="E40" i="2"/>
  <c r="E39" i="2"/>
  <c r="E35" i="2"/>
  <c r="E34" i="2"/>
  <c r="E33" i="2"/>
  <c r="E32" i="2"/>
  <c r="H60" i="1" s="1" a="1"/>
  <c r="E31" i="2"/>
  <c r="H61" i="1" s="1" a="1"/>
  <c r="E29" i="2"/>
  <c r="H63" i="1" s="1" a="1"/>
  <c r="E28" i="2"/>
  <c r="H66" i="1" s="1" a="1"/>
  <c r="E27" i="2"/>
  <c r="H67" i="1" s="1" a="1"/>
  <c r="E43" i="2"/>
  <c r="H47" i="1" s="1" a="1"/>
  <c r="E44" i="2"/>
  <c r="E25" i="2"/>
  <c r="H29" i="1" s="1" a="1"/>
  <c r="E24" i="2"/>
  <c r="H30" i="1" s="1" a="1"/>
  <c r="E23" i="2"/>
  <c r="H32" i="1" s="1" a="1"/>
  <c r="E22" i="2"/>
  <c r="E21" i="2"/>
  <c r="E20" i="2"/>
  <c r="H40" i="1" s="1" a="1"/>
  <c r="E19" i="2"/>
  <c r="H42" i="1" s="1" a="1"/>
  <c r="E17" i="2"/>
  <c r="H45" i="1" s="1" a="1"/>
  <c r="E16" i="2"/>
  <c r="H46" i="1" s="1" a="1"/>
  <c r="E18" i="2"/>
  <c r="H28" i="1" s="1" a="1"/>
  <c r="E15" i="2"/>
  <c r="E13" i="2"/>
  <c r="H4" i="1" s="1" a="1"/>
  <c r="E12" i="2"/>
  <c r="H5" i="1" s="1" a="1"/>
  <c r="E11" i="2"/>
  <c r="H6" i="1" s="1" a="1"/>
  <c r="E9" i="2"/>
  <c r="H8" i="1" s="1" a="1"/>
  <c r="E7" i="2"/>
  <c r="H9" i="1" s="1" a="1"/>
  <c r="E6" i="2"/>
  <c r="H10" i="1" s="1" a="1"/>
  <c r="E8" i="2"/>
  <c r="H13" i="1" s="1" a="1"/>
  <c r="E5" i="2"/>
  <c r="H14" i="1" s="1" a="1"/>
  <c r="E4" i="2"/>
  <c r="H15" i="1" s="1" a="1"/>
  <c r="E3" i="2"/>
  <c r="H19" i="1" s="1" a="1"/>
  <c r="E2" i="2"/>
  <c r="H22" i="1" s="1" a="1"/>
  <c r="E14" i="2"/>
  <c r="B17" i="19"/>
  <c r="B16" i="19"/>
  <c r="B15" i="19"/>
  <c r="B14" i="19"/>
  <c r="B13" i="19"/>
  <c r="B12" i="19"/>
  <c r="F8" i="19" s="1"/>
  <c r="B11" i="19"/>
  <c r="B10" i="19"/>
  <c r="B9" i="19"/>
  <c r="B8" i="19"/>
  <c r="B7" i="19"/>
  <c r="B6" i="19"/>
  <c r="B5" i="19"/>
  <c r="B4" i="19"/>
  <c r="B3" i="19"/>
  <c r="B2" i="19"/>
  <c r="D15" i="2"/>
  <c r="H352" i="1" a="1"/>
  <c r="H7" i="1" a="1"/>
  <c r="H12" i="1" a="1"/>
  <c r="H16" i="1" a="1"/>
  <c r="H17" i="1" a="1"/>
  <c r="H18" i="1" a="1"/>
  <c r="H20" i="1" a="1"/>
  <c r="H21" i="1" a="1"/>
  <c r="H23" i="1" a="1"/>
  <c r="H24" i="1" a="1"/>
  <c r="H25" i="1" a="1"/>
  <c r="H26" i="1" a="1"/>
  <c r="H27" i="1" a="1"/>
  <c r="H31" i="1" a="1"/>
  <c r="H33" i="1" a="1"/>
  <c r="H34" i="1" a="1"/>
  <c r="H35" i="1" a="1"/>
  <c r="H36" i="1" a="1"/>
  <c r="H37" i="1" a="1"/>
  <c r="H39" i="1" a="1"/>
  <c r="H41" i="1" a="1"/>
  <c r="H43" i="1" a="1"/>
  <c r="H44" i="1" a="1"/>
  <c r="H48" i="1" a="1"/>
  <c r="H49" i="1" a="1"/>
  <c r="H51" i="1" a="1"/>
  <c r="H56" i="1" a="1"/>
  <c r="H57" i="1" a="1"/>
  <c r="H62" i="1" a="1"/>
  <c r="H64" i="1" a="1"/>
  <c r="H65" i="1" a="1"/>
  <c r="H68" i="1" a="1"/>
  <c r="H77" i="1" a="1"/>
  <c r="H79" i="1" a="1"/>
  <c r="H87" i="1" a="1"/>
  <c r="H89" i="1" a="1"/>
  <c r="H101" i="1" a="1"/>
  <c r="H102" i="1" a="1"/>
  <c r="H108" i="1" a="1"/>
  <c r="H121" i="1" a="1"/>
  <c r="H122" i="1" a="1"/>
  <c r="H123" i="1" a="1"/>
  <c r="H176" i="1" a="1"/>
  <c r="H189" i="1" a="1"/>
  <c r="H197" i="1" a="1"/>
  <c r="H199" i="1" a="1"/>
  <c r="H201" i="1" a="1"/>
  <c r="H207" i="1" a="1"/>
  <c r="H212" i="1" a="1"/>
  <c r="H214" i="1" a="1"/>
  <c r="H219" i="1" a="1"/>
  <c r="H222" i="1" a="1"/>
  <c r="H224" i="1" a="1"/>
  <c r="H225" i="1" a="1"/>
  <c r="H226" i="1" a="1"/>
  <c r="H230" i="1" a="1"/>
  <c r="H232" i="1" a="1"/>
  <c r="H235" i="1" a="1"/>
  <c r="H237" i="1" a="1"/>
  <c r="H238" i="1" a="1"/>
  <c r="H239" i="1" a="1"/>
  <c r="H240" i="1" a="1"/>
  <c r="H241" i="1" a="1"/>
  <c r="H245" i="1" a="1"/>
  <c r="H246" i="1" a="1"/>
  <c r="H247" i="1" a="1"/>
  <c r="H258" i="1" a="1"/>
  <c r="H262" i="1" a="1"/>
  <c r="H266" i="1" a="1"/>
  <c r="H269" i="1" a="1"/>
  <c r="H272" i="1" a="1"/>
  <c r="H273" i="1" a="1"/>
  <c r="H279" i="1" a="1"/>
  <c r="H281" i="1" a="1"/>
  <c r="H282" i="1" a="1"/>
  <c r="H286" i="1" a="1"/>
  <c r="H289" i="1" a="1"/>
  <c r="H290" i="1" a="1"/>
  <c r="H310" i="1" a="1"/>
  <c r="H318" i="1" a="1"/>
  <c r="H323" i="1" a="1"/>
  <c r="H330" i="1" a="1"/>
  <c r="H333" i="1" a="1"/>
  <c r="H336" i="1" a="1"/>
  <c r="H337" i="1" a="1"/>
  <c r="H338" i="1" a="1"/>
  <c r="H340" i="1" a="1"/>
  <c r="H341" i="1" a="1"/>
  <c r="H342" i="1" a="1"/>
  <c r="H343" i="1" a="1"/>
  <c r="H349" i="1" a="1"/>
  <c r="H350" i="1" a="1"/>
  <c r="H351" i="1" a="1"/>
  <c r="H2" i="1" a="1"/>
  <c r="H334" i="1" l="1" a="1"/>
  <c r="H252" i="1" a="1"/>
  <c r="H166" i="1" a="1"/>
  <c r="H155" i="1" a="1"/>
  <c r="H107" i="1" a="1"/>
  <c r="B18" i="19"/>
  <c r="H3" i="19"/>
  <c r="H5" i="19"/>
  <c r="F10" i="19"/>
  <c r="H233" i="1" a="1"/>
  <c r="H292" i="1" a="1"/>
  <c r="H331" i="1" a="1"/>
  <c r="F3" i="19"/>
  <c r="H8" i="19"/>
  <c r="I8" i="19" s="1"/>
  <c r="H6" i="19"/>
  <c r="H309" i="1" a="1"/>
  <c r="H4" i="19"/>
  <c r="H187" i="1" a="1"/>
  <c r="J350" i="2"/>
  <c r="H50" i="1" a="1"/>
  <c r="H260" i="1" a="1"/>
  <c r="H332" i="1" a="1"/>
  <c r="H328" i="1" a="1"/>
  <c r="H303" i="1" a="1"/>
  <c r="H267" i="1" a="1"/>
  <c r="H249" i="1" a="1"/>
  <c r="H221" i="1" a="1"/>
  <c r="H208" i="1" a="1"/>
  <c r="H82" i="1" a="1"/>
  <c r="H38" i="1" a="1"/>
  <c r="H285" i="1" a="1"/>
  <c r="H141" i="1" a="1"/>
  <c r="H110" i="1" a="1"/>
  <c r="H298" i="1" a="1"/>
  <c r="H345" i="1" a="1"/>
  <c r="F6" i="19"/>
  <c r="H183" i="1" a="1"/>
  <c r="H200" i="1" a="1"/>
  <c r="H179" i="1" a="1"/>
  <c r="H168" i="1" a="1"/>
  <c r="H158" i="1" a="1"/>
  <c r="H174" i="1" a="1"/>
  <c r="H140" i="1" a="1"/>
  <c r="H114" i="1" a="1"/>
  <c r="H88" i="1" a="1"/>
  <c r="H84" i="1" a="1"/>
  <c r="H177" i="1" a="1"/>
  <c r="H111" i="1" a="1"/>
  <c r="H119" i="1" a="1"/>
  <c r="H157" i="1" a="1"/>
  <c r="H193" i="1" a="1"/>
  <c r="H217" i="1" a="1"/>
  <c r="H255" i="1" a="1"/>
  <c r="H90" i="1" a="1"/>
  <c r="H133" i="1" a="1"/>
  <c r="H149" i="1" a="1"/>
  <c r="H175" i="1" a="1"/>
  <c r="H188" i="1" a="1"/>
  <c r="F5" i="19"/>
  <c r="H254" i="1" a="1"/>
  <c r="H284" i="1" a="1"/>
  <c r="H304" i="1" a="1"/>
  <c r="F4" i="19"/>
  <c r="H171" i="1" a="1"/>
  <c r="H59" i="1" a="1"/>
  <c r="H156" i="1" a="1"/>
  <c r="H169" i="1" a="1"/>
  <c r="H160" i="1" a="1"/>
  <c r="H143" i="1" a="1"/>
  <c r="H58" i="1" a="1"/>
  <c r="H3" i="1" a="1"/>
  <c r="D183" i="2"/>
  <c r="D307" i="2"/>
  <c r="D25" i="2"/>
  <c r="D44" i="2"/>
  <c r="D30" i="2"/>
  <c r="D212" i="2"/>
  <c r="D211" i="2"/>
  <c r="D206" i="2"/>
  <c r="D202" i="2"/>
  <c r="D93" i="2"/>
  <c r="D92" i="2"/>
  <c r="D67" i="2"/>
  <c r="D264" i="2"/>
  <c r="D300" i="2"/>
  <c r="D91" i="2"/>
  <c r="D151" i="2"/>
  <c r="D284" i="2"/>
  <c r="D181" i="2"/>
  <c r="D161" i="2"/>
  <c r="D82" i="2"/>
  <c r="D346" i="2"/>
  <c r="D90" i="2"/>
  <c r="D14" i="2"/>
  <c r="D263" i="2"/>
  <c r="D114" i="2"/>
  <c r="D150" i="2"/>
  <c r="D241" i="2"/>
  <c r="D180" i="2"/>
  <c r="D66" i="2"/>
  <c r="D210" i="2"/>
  <c r="D149" i="2"/>
  <c r="D13" i="2"/>
  <c r="D179" i="2"/>
  <c r="D160" i="2"/>
  <c r="D178" i="2"/>
  <c r="D209" i="2"/>
  <c r="D177" i="2"/>
  <c r="D176" i="2"/>
  <c r="D328" i="2"/>
  <c r="D327" i="2"/>
  <c r="D113" i="2"/>
  <c r="D112" i="2"/>
  <c r="D343" i="2"/>
  <c r="D194" i="2"/>
  <c r="D189" i="2"/>
  <c r="D283" i="2"/>
  <c r="D208" i="2"/>
  <c r="D326" i="2"/>
  <c r="D339" i="2"/>
  <c r="D111" i="2"/>
  <c r="D341" i="2"/>
  <c r="D207" i="2"/>
  <c r="D191" i="2"/>
  <c r="D239" i="2"/>
  <c r="D24" i="2"/>
  <c r="D12" i="2"/>
  <c r="D43" i="2"/>
  <c r="D42" i="2"/>
  <c r="D340" i="2"/>
  <c r="D175" i="2"/>
  <c r="D281" i="2"/>
  <c r="D64" i="2"/>
  <c r="D63" i="2"/>
  <c r="D23" i="2"/>
  <c r="D231" i="2"/>
  <c r="D306" i="2"/>
  <c r="D304" i="2"/>
  <c r="D146" i="2"/>
  <c r="D262" i="2"/>
  <c r="D205" i="2"/>
  <c r="D110" i="2"/>
  <c r="D103" i="2"/>
  <c r="D204" i="2"/>
  <c r="D325" i="2"/>
  <c r="D109" i="2"/>
  <c r="D324" i="2"/>
  <c r="D280" i="2"/>
  <c r="D41" i="2"/>
  <c r="D11" i="2"/>
  <c r="D62" i="2"/>
  <c r="D230" i="2"/>
  <c r="D238" i="2"/>
  <c r="D302" i="2"/>
  <c r="D301" i="2"/>
  <c r="D337" i="2"/>
  <c r="D88" i="2"/>
  <c r="D36" i="2"/>
  <c r="D279" i="2"/>
  <c r="D277" i="2"/>
  <c r="D261" i="2"/>
  <c r="D249" i="2"/>
  <c r="D278" i="2"/>
  <c r="D87" i="2"/>
  <c r="D203" i="2"/>
  <c r="D86" i="2"/>
  <c r="D60" i="2"/>
  <c r="D229" i="2"/>
  <c r="D26" i="2"/>
  <c r="D144" i="2"/>
  <c r="D143" i="2"/>
  <c r="D9" i="2"/>
  <c r="D173" i="2"/>
  <c r="D201" i="2"/>
  <c r="D199" i="2"/>
  <c r="D38" i="2"/>
  <c r="D322" i="2"/>
  <c r="D228" i="2"/>
  <c r="D321" i="2"/>
  <c r="D320" i="2"/>
  <c r="D172" i="2"/>
  <c r="D37" i="2"/>
  <c r="D200" i="2"/>
  <c r="D186" i="2"/>
  <c r="D185" i="2"/>
  <c r="D276" i="2"/>
  <c r="D141" i="2"/>
  <c r="D119" i="2"/>
  <c r="D108" i="2"/>
  <c r="D260" i="2"/>
  <c r="D140" i="2"/>
  <c r="D171" i="2"/>
  <c r="D85" i="2"/>
  <c r="D169" i="2"/>
  <c r="D275" i="2"/>
  <c r="D345" i="2"/>
  <c r="D336" i="2"/>
  <c r="D226" i="2"/>
  <c r="D311" i="2"/>
  <c r="D168" i="2"/>
  <c r="D22" i="2"/>
  <c r="D21" i="2"/>
  <c r="D7" i="2"/>
  <c r="D148" i="2"/>
  <c r="D147" i="2"/>
  <c r="D142" i="2"/>
  <c r="D139" i="2"/>
  <c r="D138" i="2"/>
  <c r="D137" i="2"/>
  <c r="D6" i="2"/>
  <c r="D84" i="2"/>
  <c r="D58" i="2"/>
  <c r="D259" i="2"/>
  <c r="D257" i="2"/>
  <c r="D167" i="2"/>
  <c r="D166" i="2"/>
  <c r="D198" i="2"/>
  <c r="D107" i="2"/>
  <c r="D83" i="2"/>
  <c r="D225" i="2"/>
  <c r="D224" i="2"/>
  <c r="D240" i="2"/>
  <c r="D223" i="2"/>
  <c r="D298" i="2"/>
  <c r="D222" i="2"/>
  <c r="D319" i="2"/>
  <c r="D182" i="2"/>
  <c r="D164" i="2"/>
  <c r="D318" i="2"/>
  <c r="D317" i="2"/>
  <c r="D162" i="2"/>
  <c r="D256" i="2"/>
  <c r="D282" i="2"/>
  <c r="D237" i="2"/>
  <c r="D136" i="2"/>
  <c r="D197" i="2"/>
  <c r="D196" i="2"/>
  <c r="D316" i="2"/>
  <c r="D221" i="2"/>
  <c r="D135" i="2"/>
  <c r="D134" i="2"/>
  <c r="D273" i="2"/>
  <c r="D133" i="2"/>
  <c r="D255" i="2"/>
  <c r="D254" i="2"/>
  <c r="D246" i="2"/>
  <c r="D106" i="2"/>
  <c r="D265" i="2"/>
  <c r="D253" i="2"/>
  <c r="D252" i="2"/>
  <c r="D299" i="2"/>
  <c r="D297" i="2"/>
  <c r="D8" i="2"/>
  <c r="D55" i="2"/>
  <c r="D193" i="2"/>
  <c r="D274" i="2"/>
  <c r="D20" i="2"/>
  <c r="D192" i="2"/>
  <c r="D296" i="2"/>
  <c r="D305" i="2"/>
  <c r="D303" i="2"/>
  <c r="D130" i="2"/>
  <c r="D220" i="2"/>
  <c r="D40" i="2"/>
  <c r="D39" i="2"/>
  <c r="D35" i="2"/>
  <c r="D163" i="2"/>
  <c r="D159" i="2"/>
  <c r="D54" i="2"/>
  <c r="D295" i="2"/>
  <c r="D251" i="2"/>
  <c r="D334" i="2"/>
  <c r="D80" i="2"/>
  <c r="D315" i="2"/>
  <c r="D53" i="2"/>
  <c r="D51" i="2"/>
  <c r="D333" i="2"/>
  <c r="D330" i="2"/>
  <c r="D5" i="2"/>
  <c r="D131" i="2"/>
  <c r="D105" i="2"/>
  <c r="D129" i="2"/>
  <c r="D52" i="2"/>
  <c r="D314" i="2"/>
  <c r="D79" i="2"/>
  <c r="D78" i="2"/>
  <c r="D77" i="2"/>
  <c r="D19" i="2"/>
  <c r="D294" i="2"/>
  <c r="D313" i="2"/>
  <c r="D344" i="2"/>
  <c r="D75" i="2"/>
  <c r="D332" i="2"/>
  <c r="D236" i="2"/>
  <c r="D235" i="2"/>
  <c r="D272" i="2"/>
  <c r="D293" i="2"/>
  <c r="D292" i="2"/>
  <c r="D234" i="2"/>
  <c r="D4" i="2"/>
  <c r="D312" i="2"/>
  <c r="D219" i="2"/>
  <c r="D18" i="2"/>
  <c r="D218" i="2"/>
  <c r="D89" i="2"/>
  <c r="D74" i="2"/>
  <c r="D73" i="2"/>
  <c r="D335" i="2"/>
  <c r="D217" i="2"/>
  <c r="D216" i="2"/>
  <c r="D190" i="2"/>
  <c r="D331" i="2"/>
  <c r="D215" i="2"/>
  <c r="D291" i="2"/>
  <c r="D290" i="2"/>
  <c r="D271" i="2"/>
  <c r="D65" i="2"/>
  <c r="D57" i="2"/>
  <c r="D50" i="2"/>
  <c r="D250" i="2"/>
  <c r="D72" i="2"/>
  <c r="D127" i="2"/>
  <c r="D49" i="2"/>
  <c r="D289" i="2"/>
  <c r="D288" i="2"/>
  <c r="D338" i="2"/>
  <c r="D126" i="2"/>
  <c r="D34" i="2"/>
  <c r="D33" i="2"/>
  <c r="D32" i="2"/>
  <c r="D158" i="2"/>
  <c r="D104" i="2"/>
  <c r="D31" i="2"/>
  <c r="D125" i="2"/>
  <c r="D157" i="2"/>
  <c r="D3" i="2"/>
  <c r="D233" i="2"/>
  <c r="D270" i="2"/>
  <c r="D269" i="2"/>
  <c r="D156" i="2"/>
  <c r="D155" i="2"/>
  <c r="D154" i="2"/>
  <c r="D102" i="2"/>
  <c r="D248" i="2"/>
  <c r="D247" i="2"/>
  <c r="D29" i="2"/>
  <c r="D124" i="2"/>
  <c r="D287" i="2"/>
  <c r="D286" i="2"/>
  <c r="D71" i="2"/>
  <c r="D329" i="2"/>
  <c r="D214" i="2"/>
  <c r="D81" i="2"/>
  <c r="D70" i="2"/>
  <c r="D61" i="2"/>
  <c r="D59" i="2"/>
  <c r="D56" i="2"/>
  <c r="D188" i="2"/>
  <c r="D122" i="2"/>
  <c r="D120" i="2"/>
  <c r="D99" i="2"/>
  <c r="D267" i="2"/>
  <c r="D268" i="2"/>
  <c r="D98" i="2"/>
  <c r="D97" i="2"/>
  <c r="D48" i="2"/>
  <c r="D245" i="2"/>
  <c r="D101" i="2"/>
  <c r="D100" i="2"/>
  <c r="D96" i="2"/>
  <c r="D227" i="2"/>
  <c r="D213" i="2"/>
  <c r="D174" i="2"/>
  <c r="D153" i="2"/>
  <c r="D152" i="2"/>
  <c r="D310" i="2"/>
  <c r="D95" i="2"/>
  <c r="D2" i="2"/>
  <c r="D195" i="2"/>
  <c r="D187" i="2"/>
  <c r="D28" i="2"/>
  <c r="D69" i="2"/>
  <c r="D244" i="2"/>
  <c r="D285" i="2"/>
  <c r="D243" i="2"/>
  <c r="D27" i="2"/>
  <c r="D132" i="2"/>
  <c r="D323" i="2"/>
  <c r="D309" i="2"/>
  <c r="D308" i="2"/>
  <c r="D94" i="2"/>
  <c r="D17" i="2"/>
  <c r="D242" i="2"/>
  <c r="D68" i="2"/>
  <c r="D16" i="2"/>
  <c r="D232" i="2"/>
  <c r="D145" i="2"/>
  <c r="D128" i="2"/>
  <c r="D123" i="2"/>
  <c r="D118" i="2"/>
  <c r="D116" i="2"/>
  <c r="D115" i="2"/>
  <c r="D266" i="2"/>
  <c r="D184" i="2"/>
  <c r="I3" i="19" l="1"/>
  <c r="I5" i="19"/>
  <c r="I4" i="19"/>
  <c r="H10" i="19"/>
  <c r="I10" i="19" s="1"/>
  <c r="I6" i="19"/>
  <c r="H352" i="1"/>
  <c r="B352" i="1" s="1" a="1"/>
  <c r="H351" i="1"/>
  <c r="B351" i="1" s="1" a="1"/>
  <c r="B351" i="1" s="1"/>
  <c r="H350" i="1"/>
  <c r="B350" i="1" s="1" a="1"/>
  <c r="B350" i="1" s="1"/>
  <c r="H349" i="1"/>
  <c r="B349" i="1" s="1" a="1"/>
  <c r="B349" i="1" s="1"/>
  <c r="H348" i="1"/>
  <c r="B348" i="1" s="1" a="1"/>
  <c r="B348" i="1" s="1"/>
  <c r="H347" i="1"/>
  <c r="B347" i="1" s="1" a="1"/>
  <c r="B347" i="1" s="1"/>
  <c r="H346" i="1"/>
  <c r="B346" i="1" s="1" a="1"/>
  <c r="H345" i="1"/>
  <c r="B345" i="1" s="1" a="1"/>
  <c r="H344" i="1"/>
  <c r="B344" i="1" s="1" a="1"/>
  <c r="B344" i="1" s="1"/>
  <c r="H343" i="1"/>
  <c r="B343" i="1" s="1" a="1"/>
  <c r="B343" i="1" s="1"/>
  <c r="H342" i="1"/>
  <c r="B342" i="1" s="1" a="1"/>
  <c r="B342" i="1" s="1"/>
  <c r="H341" i="1"/>
  <c r="B341" i="1" s="1" a="1"/>
  <c r="B341" i="1" s="1"/>
  <c r="H340" i="1"/>
  <c r="B340" i="1" s="1" a="1"/>
  <c r="H339" i="1"/>
  <c r="B339" i="1" s="1" a="1"/>
  <c r="B339" i="1" s="1"/>
  <c r="H338" i="1"/>
  <c r="B338" i="1" s="1" a="1"/>
  <c r="B338" i="1" s="1"/>
  <c r="H337" i="1"/>
  <c r="B337" i="1" s="1" a="1"/>
  <c r="B337" i="1" s="1"/>
  <c r="H336" i="1"/>
  <c r="B336" i="1" s="1" a="1"/>
  <c r="B336" i="1" s="1"/>
  <c r="H335" i="1"/>
  <c r="B335" i="1" s="1" a="1"/>
  <c r="B335" i="1" s="1"/>
  <c r="H334" i="1"/>
  <c r="B334" i="1" s="1" a="1"/>
  <c r="H333" i="1"/>
  <c r="B333" i="1" s="1" a="1"/>
  <c r="B333" i="1" s="1"/>
  <c r="H332" i="1"/>
  <c r="B332" i="1" s="1" a="1"/>
  <c r="H331" i="1"/>
  <c r="B331" i="1" s="1" a="1"/>
  <c r="B331" i="1" s="1"/>
  <c r="H330" i="1"/>
  <c r="B330" i="1" s="1" a="1"/>
  <c r="B330" i="1" s="1"/>
  <c r="H329" i="1"/>
  <c r="B329" i="1" s="1" a="1"/>
  <c r="B329" i="1" s="1"/>
  <c r="H328" i="1"/>
  <c r="B328" i="1" s="1" a="1"/>
  <c r="H327" i="1"/>
  <c r="B327" i="1" s="1" a="1"/>
  <c r="B327" i="1" s="1"/>
  <c r="H326" i="1"/>
  <c r="B326" i="1" s="1" a="1"/>
  <c r="B326" i="1" s="1"/>
  <c r="H325" i="1"/>
  <c r="B325" i="1" s="1" a="1"/>
  <c r="B325" i="1" s="1"/>
  <c r="H324" i="1"/>
  <c r="B324" i="1" s="1" a="1"/>
  <c r="B324" i="1" s="1"/>
  <c r="H323" i="1"/>
  <c r="B323" i="1" s="1" a="1"/>
  <c r="B323" i="1" s="1"/>
  <c r="H322" i="1"/>
  <c r="B322" i="1" s="1" a="1"/>
  <c r="H321" i="1"/>
  <c r="B321" i="1" s="1" a="1"/>
  <c r="B321" i="1" s="1"/>
  <c r="H320" i="1"/>
  <c r="B320" i="1" s="1" a="1"/>
  <c r="B320" i="1" s="1"/>
  <c r="H319" i="1"/>
  <c r="B319" i="1" s="1" a="1"/>
  <c r="B319" i="1" s="1"/>
  <c r="H318" i="1"/>
  <c r="B318" i="1" s="1" a="1"/>
  <c r="B318" i="1" s="1"/>
  <c r="H317" i="1"/>
  <c r="B317" i="1" s="1" a="1"/>
  <c r="B317" i="1" s="1"/>
  <c r="H316" i="1"/>
  <c r="B316" i="1" s="1" a="1"/>
  <c r="H315" i="1"/>
  <c r="B315" i="1" s="1" a="1"/>
  <c r="B315" i="1" s="1"/>
  <c r="H314" i="1"/>
  <c r="B314" i="1" s="1" a="1"/>
  <c r="B314" i="1" s="1"/>
  <c r="H313" i="1"/>
  <c r="B313" i="1" s="1" a="1"/>
  <c r="B313" i="1" s="1"/>
  <c r="H312" i="1"/>
  <c r="B312" i="1" s="1" a="1"/>
  <c r="B312" i="1" s="1"/>
  <c r="H311" i="1"/>
  <c r="B311" i="1" s="1" a="1"/>
  <c r="B311" i="1" s="1"/>
  <c r="H310" i="1"/>
  <c r="B310" i="1" s="1" a="1"/>
  <c r="H309" i="1"/>
  <c r="B309" i="1" s="1" a="1"/>
  <c r="H308" i="1"/>
  <c r="B308" i="1" s="1" a="1"/>
  <c r="B308" i="1" s="1"/>
  <c r="H307" i="1"/>
  <c r="B307" i="1" s="1" a="1"/>
  <c r="B307" i="1" s="1"/>
  <c r="H306" i="1"/>
  <c r="B306" i="1" s="1" a="1"/>
  <c r="B306" i="1" s="1"/>
  <c r="H305" i="1"/>
  <c r="B305" i="1" s="1" a="1"/>
  <c r="B305" i="1" s="1"/>
  <c r="H304" i="1"/>
  <c r="B304" i="1" s="1" a="1"/>
  <c r="H303" i="1"/>
  <c r="B303" i="1" s="1" a="1"/>
  <c r="H302" i="1"/>
  <c r="B302" i="1" s="1" a="1"/>
  <c r="B302" i="1" s="1"/>
  <c r="H301" i="1"/>
  <c r="B301" i="1" s="1" a="1"/>
  <c r="B301" i="1" s="1"/>
  <c r="H300" i="1"/>
  <c r="B300" i="1" s="1" a="1"/>
  <c r="B300" i="1" s="1"/>
  <c r="H299" i="1"/>
  <c r="B299" i="1" s="1" a="1"/>
  <c r="H298" i="1"/>
  <c r="B298" i="1" s="1" a="1"/>
  <c r="H297" i="1"/>
  <c r="B297" i="1" s="1" a="1"/>
  <c r="B297" i="1" s="1"/>
  <c r="H296" i="1"/>
  <c r="B296" i="1" s="1" a="1"/>
  <c r="B296" i="1" s="1"/>
  <c r="H295" i="1"/>
  <c r="B295" i="1" s="1" a="1"/>
  <c r="B295" i="1" s="1"/>
  <c r="H294" i="1"/>
  <c r="B294" i="1" s="1" a="1"/>
  <c r="B294" i="1" s="1"/>
  <c r="H293" i="1"/>
  <c r="B293" i="1" s="1" a="1"/>
  <c r="B293" i="1" s="1"/>
  <c r="H292" i="1"/>
  <c r="B292" i="1" s="1" a="1"/>
  <c r="H291" i="1"/>
  <c r="B291" i="1" s="1" a="1"/>
  <c r="B291" i="1" s="1"/>
  <c r="H290" i="1"/>
  <c r="B290" i="1" s="1" a="1"/>
  <c r="B290" i="1" s="1"/>
  <c r="H289" i="1"/>
  <c r="B289" i="1" s="1" a="1"/>
  <c r="B289" i="1" s="1"/>
  <c r="H288" i="1"/>
  <c r="B288" i="1" s="1" a="1"/>
  <c r="B288" i="1" s="1"/>
  <c r="H287" i="1"/>
  <c r="B287" i="1" s="1" a="1"/>
  <c r="B287" i="1" s="1"/>
  <c r="H286" i="1"/>
  <c r="B286" i="1" s="1" a="1"/>
  <c r="H285" i="1"/>
  <c r="B285" i="1" s="1" a="1"/>
  <c r="H284" i="1"/>
  <c r="B284" i="1" s="1" a="1"/>
  <c r="H283" i="1"/>
  <c r="B283" i="1" s="1" a="1"/>
  <c r="B283" i="1" s="1"/>
  <c r="H282" i="1"/>
  <c r="B282" i="1" s="1" a="1"/>
  <c r="B282" i="1" s="1"/>
  <c r="H281" i="1"/>
  <c r="B281" i="1" s="1" a="1"/>
  <c r="B281" i="1" s="1"/>
  <c r="H280" i="1"/>
  <c r="B280" i="1" s="1" a="1"/>
  <c r="H279" i="1"/>
  <c r="B279" i="1" s="1" a="1"/>
  <c r="B279" i="1" s="1"/>
  <c r="H278" i="1"/>
  <c r="B278" i="1" s="1" a="1"/>
  <c r="B278" i="1" s="1"/>
  <c r="H277" i="1"/>
  <c r="B277" i="1" s="1" a="1"/>
  <c r="B277" i="1" s="1"/>
  <c r="H276" i="1"/>
  <c r="B276" i="1" s="1" a="1"/>
  <c r="B276" i="1" s="1"/>
  <c r="H275" i="1"/>
  <c r="B275" i="1" s="1" a="1"/>
  <c r="B275" i="1" s="1"/>
  <c r="H274" i="1"/>
  <c r="B274" i="1" s="1" a="1"/>
  <c r="H273" i="1"/>
  <c r="B273" i="1" s="1" a="1"/>
  <c r="B273" i="1" s="1"/>
  <c r="H272" i="1"/>
  <c r="B272" i="1" s="1" a="1"/>
  <c r="B272" i="1" s="1"/>
  <c r="H271" i="1"/>
  <c r="B271" i="1" s="1" a="1"/>
  <c r="B271" i="1" s="1"/>
  <c r="H270" i="1"/>
  <c r="B270" i="1" s="1" a="1"/>
  <c r="B270" i="1" s="1"/>
  <c r="H269" i="1"/>
  <c r="B269" i="1" s="1" a="1"/>
  <c r="B269" i="1" s="1"/>
  <c r="H268" i="1"/>
  <c r="B268" i="1" s="1" a="1"/>
  <c r="H267" i="1"/>
  <c r="B267" i="1" s="1" a="1"/>
  <c r="H266" i="1"/>
  <c r="B266" i="1" s="1" a="1"/>
  <c r="B266" i="1" s="1"/>
  <c r="H265" i="1"/>
  <c r="B265" i="1" s="1" a="1"/>
  <c r="B265" i="1" s="1"/>
  <c r="H264" i="1"/>
  <c r="B264" i="1" s="1" a="1"/>
  <c r="B264" i="1" s="1"/>
  <c r="H263" i="1"/>
  <c r="B263" i="1" s="1" a="1"/>
  <c r="H262" i="1"/>
  <c r="B262" i="1" s="1" a="1"/>
  <c r="H261" i="1"/>
  <c r="B261" i="1" s="1" a="1"/>
  <c r="B261" i="1" s="1"/>
  <c r="H260" i="1"/>
  <c r="B260" i="1" s="1" a="1"/>
  <c r="B260" i="1" s="1"/>
  <c r="H259" i="1"/>
  <c r="B259" i="1" s="1" a="1"/>
  <c r="B259" i="1" s="1"/>
  <c r="H258" i="1"/>
  <c r="B258" i="1" s="1" a="1"/>
  <c r="B258" i="1" s="1"/>
  <c r="H257" i="1"/>
  <c r="B257" i="1" s="1" a="1"/>
  <c r="B257" i="1" s="1"/>
  <c r="H256" i="1"/>
  <c r="B256" i="1" s="1" a="1"/>
  <c r="H255" i="1"/>
  <c r="B255" i="1" s="1" a="1"/>
  <c r="H254" i="1"/>
  <c r="B254" i="1" s="1" a="1"/>
  <c r="B254" i="1" s="1"/>
  <c r="H253" i="1"/>
  <c r="B253" i="1" s="1" a="1"/>
  <c r="B253" i="1" s="1"/>
  <c r="H252" i="1"/>
  <c r="B252" i="1" s="1" a="1"/>
  <c r="B252" i="1" s="1"/>
  <c r="H251" i="1"/>
  <c r="B251" i="1" s="1" a="1"/>
  <c r="B251" i="1" s="1"/>
  <c r="H250" i="1"/>
  <c r="B250" i="1" s="1" a="1"/>
  <c r="H249" i="1"/>
  <c r="B249" i="1" s="1" a="1"/>
  <c r="H248" i="1"/>
  <c r="B248" i="1" s="1" a="1"/>
  <c r="B248" i="1" s="1"/>
  <c r="H247" i="1"/>
  <c r="B247" i="1" s="1" a="1"/>
  <c r="B247" i="1" s="1"/>
  <c r="H246" i="1"/>
  <c r="B246" i="1" s="1" a="1"/>
  <c r="B246" i="1" s="1"/>
  <c r="H245" i="1"/>
  <c r="B245" i="1" s="1" a="1"/>
  <c r="B245" i="1" s="1"/>
  <c r="H244" i="1"/>
  <c r="B244" i="1" s="1" a="1"/>
  <c r="H243" i="1"/>
  <c r="B243" i="1" s="1" a="1"/>
  <c r="B243" i="1" s="1"/>
  <c r="H242" i="1"/>
  <c r="B242" i="1" s="1" a="1"/>
  <c r="B242" i="1" s="1"/>
  <c r="H241" i="1"/>
  <c r="B241" i="1" s="1" a="1"/>
  <c r="B241" i="1" s="1"/>
  <c r="H240" i="1"/>
  <c r="B240" i="1" s="1" a="1"/>
  <c r="B240" i="1" s="1"/>
  <c r="H239" i="1"/>
  <c r="B239" i="1" s="1" a="1"/>
  <c r="B239" i="1" s="1"/>
  <c r="H238" i="1"/>
  <c r="B238" i="1" s="1" a="1"/>
  <c r="H237" i="1"/>
  <c r="B237" i="1" s="1" a="1"/>
  <c r="B237" i="1" s="1"/>
  <c r="H236" i="1"/>
  <c r="B236" i="1" s="1" a="1"/>
  <c r="B236" i="1" s="1"/>
  <c r="H235" i="1"/>
  <c r="B235" i="1" s="1" a="1"/>
  <c r="B235" i="1" s="1"/>
  <c r="H234" i="1"/>
  <c r="B234" i="1" s="1" a="1"/>
  <c r="B234" i="1" s="1"/>
  <c r="H233" i="1"/>
  <c r="B233" i="1" s="1" a="1"/>
  <c r="B233" i="1" s="1"/>
  <c r="H232" i="1"/>
  <c r="B232" i="1" s="1" a="1"/>
  <c r="H231" i="1"/>
  <c r="B231" i="1" s="1" a="1"/>
  <c r="B231" i="1" s="1"/>
  <c r="H230" i="1"/>
  <c r="B230" i="1" s="1" a="1"/>
  <c r="B230" i="1" s="1"/>
  <c r="H229" i="1"/>
  <c r="B229" i="1" s="1" a="1"/>
  <c r="B229" i="1" s="1"/>
  <c r="H228" i="1"/>
  <c r="B228" i="1" s="1" a="1"/>
  <c r="B228" i="1" s="1"/>
  <c r="H227" i="1"/>
  <c r="B227" i="1" s="1" a="1"/>
  <c r="H226" i="1"/>
  <c r="B226" i="1" s="1" a="1"/>
  <c r="H225" i="1"/>
  <c r="B225" i="1" s="1" a="1"/>
  <c r="B225" i="1" s="1"/>
  <c r="H224" i="1"/>
  <c r="B224" i="1" s="1" a="1"/>
  <c r="B224" i="1" s="1"/>
  <c r="H223" i="1"/>
  <c r="B223" i="1" s="1" a="1"/>
  <c r="B223" i="1" s="1"/>
  <c r="H222" i="1"/>
  <c r="B222" i="1" s="1" a="1"/>
  <c r="B222" i="1" s="1"/>
  <c r="H221" i="1"/>
  <c r="B221" i="1" s="1" a="1"/>
  <c r="H220" i="1"/>
  <c r="B220" i="1" s="1" a="1"/>
  <c r="H219" i="1"/>
  <c r="B219" i="1" s="1" a="1"/>
  <c r="B219" i="1" s="1"/>
  <c r="H218" i="1"/>
  <c r="B218" i="1" s="1" a="1"/>
  <c r="B218" i="1" s="1"/>
  <c r="H217" i="1"/>
  <c r="B217" i="1" s="1" a="1"/>
  <c r="B217" i="1" s="1"/>
  <c r="H216" i="1"/>
  <c r="B216" i="1" s="1" a="1"/>
  <c r="B216" i="1" s="1"/>
  <c r="H215" i="1"/>
  <c r="B215" i="1" s="1" a="1"/>
  <c r="B215" i="1" s="1"/>
  <c r="H214" i="1"/>
  <c r="B214" i="1" s="1" a="1"/>
  <c r="H213" i="1"/>
  <c r="B213" i="1" s="1" a="1"/>
  <c r="H212" i="1"/>
  <c r="B212" i="1" s="1" a="1"/>
  <c r="H211" i="1"/>
  <c r="B211" i="1" s="1" a="1"/>
  <c r="B211" i="1" s="1"/>
  <c r="H210" i="1"/>
  <c r="B210" i="1" s="1" a="1"/>
  <c r="B210" i="1" s="1"/>
  <c r="H209" i="1"/>
  <c r="B209" i="1" s="1" a="1"/>
  <c r="B209" i="1" s="1"/>
  <c r="H208" i="1"/>
  <c r="B208" i="1" s="1" a="1"/>
  <c r="H207" i="1"/>
  <c r="B207" i="1" s="1" a="1"/>
  <c r="B207" i="1" s="1"/>
  <c r="H206" i="1"/>
  <c r="B206" i="1" s="1" a="1"/>
  <c r="B206" i="1" s="1"/>
  <c r="H205" i="1"/>
  <c r="B205" i="1" s="1" a="1"/>
  <c r="B205" i="1" s="1"/>
  <c r="H204" i="1"/>
  <c r="B204" i="1" s="1" a="1"/>
  <c r="B204" i="1" s="1"/>
  <c r="H203" i="1"/>
  <c r="B203" i="1" s="1" a="1"/>
  <c r="B203" i="1" s="1"/>
  <c r="H202" i="1"/>
  <c r="B202" i="1" s="1" a="1"/>
  <c r="H201" i="1"/>
  <c r="B201" i="1" s="1" a="1"/>
  <c r="B201" i="1" s="1"/>
  <c r="H200" i="1"/>
  <c r="B200" i="1" s="1" a="1"/>
  <c r="B200" i="1" s="1"/>
  <c r="H199" i="1"/>
  <c r="B199" i="1" s="1" a="1"/>
  <c r="B199" i="1" s="1"/>
  <c r="H198" i="1"/>
  <c r="B198" i="1" s="1" a="1"/>
  <c r="H197" i="1"/>
  <c r="B197" i="1" s="1" a="1"/>
  <c r="B197" i="1" s="1"/>
  <c r="H196" i="1"/>
  <c r="B196" i="1" s="1" a="1"/>
  <c r="H195" i="1"/>
  <c r="B195" i="1" s="1" a="1"/>
  <c r="B195" i="1" s="1"/>
  <c r="H194" i="1"/>
  <c r="B194" i="1" s="1" a="1"/>
  <c r="B194" i="1" s="1"/>
  <c r="H193" i="1"/>
  <c r="B193" i="1" s="1" a="1"/>
  <c r="H192" i="1"/>
  <c r="B192" i="1" s="1" a="1"/>
  <c r="B192" i="1" s="1"/>
  <c r="H191" i="1"/>
  <c r="B191" i="1" s="1" a="1"/>
  <c r="H190" i="1"/>
  <c r="B190" i="1" s="1" a="1"/>
  <c r="H189" i="1"/>
  <c r="B189" i="1" s="1" a="1"/>
  <c r="B189" i="1" s="1"/>
  <c r="H188" i="1"/>
  <c r="B188" i="1" s="1" a="1"/>
  <c r="H187" i="1"/>
  <c r="B187" i="1" s="1" a="1"/>
  <c r="B187" i="1" s="1"/>
  <c r="H186" i="1"/>
  <c r="B186" i="1" s="1" a="1"/>
  <c r="B186" i="1" s="1"/>
  <c r="H185" i="1"/>
  <c r="B185" i="1" s="1" a="1"/>
  <c r="B185" i="1" s="1"/>
  <c r="H184" i="1"/>
  <c r="B184" i="1" s="1" a="1"/>
  <c r="H183" i="1"/>
  <c r="B183" i="1" s="1" a="1"/>
  <c r="H182" i="1"/>
  <c r="B182" i="1" s="1" a="1"/>
  <c r="B182" i="1" s="1"/>
  <c r="H181" i="1"/>
  <c r="B181" i="1" s="1" a="1"/>
  <c r="B181" i="1" s="1"/>
  <c r="H180" i="1"/>
  <c r="B180" i="1" s="1" a="1"/>
  <c r="B180" i="1" s="1"/>
  <c r="H179" i="1"/>
  <c r="B179" i="1" s="1" a="1"/>
  <c r="B179" i="1" s="1"/>
  <c r="H178" i="1"/>
  <c r="B178" i="1" s="1" a="1"/>
  <c r="H177" i="1"/>
  <c r="B177" i="1" s="1" a="1"/>
  <c r="H176" i="1"/>
  <c r="B176" i="1" s="1" a="1"/>
  <c r="H175" i="1"/>
  <c r="B175" i="1" s="1" a="1"/>
  <c r="B175" i="1" s="1"/>
  <c r="H174" i="1"/>
  <c r="B174" i="1" s="1" a="1"/>
  <c r="B174" i="1" s="1"/>
  <c r="H173" i="1"/>
  <c r="B173" i="1" s="1" a="1"/>
  <c r="B173" i="1" s="1"/>
  <c r="H172" i="1"/>
  <c r="B172" i="1" s="1" a="1"/>
  <c r="H171" i="1"/>
  <c r="B171" i="1" s="1" a="1"/>
  <c r="H170" i="1"/>
  <c r="B170" i="1" s="1" a="1"/>
  <c r="B170" i="1" s="1"/>
  <c r="H169" i="1"/>
  <c r="B169" i="1" s="1" a="1"/>
  <c r="H168" i="1"/>
  <c r="B168" i="1" s="1" a="1"/>
  <c r="H167" i="1"/>
  <c r="B167" i="1" s="1" a="1"/>
  <c r="B167" i="1" s="1"/>
  <c r="H166" i="1"/>
  <c r="B166" i="1" s="1" a="1"/>
  <c r="H165" i="1"/>
  <c r="B165" i="1" s="1" a="1"/>
  <c r="B165" i="1" s="1"/>
  <c r="H164" i="1"/>
  <c r="B164" i="1" s="1" a="1"/>
  <c r="B164" i="1" s="1"/>
  <c r="H163" i="1"/>
  <c r="B163" i="1" s="1" a="1"/>
  <c r="B163" i="1" s="1"/>
  <c r="H162" i="1"/>
  <c r="B162" i="1" s="1" a="1"/>
  <c r="H161" i="1"/>
  <c r="B161" i="1" s="1" a="1"/>
  <c r="B161" i="1" s="1"/>
  <c r="H160" i="1"/>
  <c r="B160" i="1" s="1" a="1"/>
  <c r="H159" i="1"/>
  <c r="B159" i="1" s="1" a="1"/>
  <c r="B159" i="1" s="1"/>
  <c r="H158" i="1"/>
  <c r="B158" i="1" s="1" a="1"/>
  <c r="B158" i="1" s="1"/>
  <c r="H157" i="1"/>
  <c r="B157" i="1" s="1" a="1"/>
  <c r="B157" i="1" s="1"/>
  <c r="H156" i="1"/>
  <c r="B156" i="1" s="1" a="1"/>
  <c r="H155" i="1"/>
  <c r="B155" i="1" s="1" a="1"/>
  <c r="H154" i="1"/>
  <c r="B154" i="1" s="1" a="1"/>
  <c r="H153" i="1"/>
  <c r="B153" i="1" s="1" a="1"/>
  <c r="B153" i="1" s="1"/>
  <c r="H152" i="1"/>
  <c r="B152" i="1" s="1" a="1"/>
  <c r="B152" i="1" s="1"/>
  <c r="H151" i="1"/>
  <c r="B151" i="1" s="1" a="1"/>
  <c r="B151" i="1" s="1"/>
  <c r="H150" i="1"/>
  <c r="B150" i="1" s="1" a="1"/>
  <c r="B150" i="1" s="1"/>
  <c r="H149" i="1"/>
  <c r="B149" i="1" s="1" a="1"/>
  <c r="B149" i="1" s="1"/>
  <c r="H148" i="1"/>
  <c r="B148" i="1" s="1" a="1"/>
  <c r="H147" i="1"/>
  <c r="B147" i="1" s="1" a="1"/>
  <c r="B147" i="1" s="1"/>
  <c r="H146" i="1"/>
  <c r="B146" i="1" s="1" a="1"/>
  <c r="B146" i="1" s="1"/>
  <c r="H145" i="1"/>
  <c r="B145" i="1" s="1" a="1"/>
  <c r="B145" i="1" s="1"/>
  <c r="H144" i="1"/>
  <c r="B144" i="1" s="1" a="1"/>
  <c r="B144" i="1" s="1"/>
  <c r="H143" i="1"/>
  <c r="B143" i="1" s="1" a="1"/>
  <c r="B143" i="1" s="1"/>
  <c r="H142" i="1"/>
  <c r="B142" i="1" s="1" a="1"/>
  <c r="H141" i="1"/>
  <c r="B141" i="1" s="1" a="1"/>
  <c r="H140" i="1"/>
  <c r="B140" i="1" s="1" a="1"/>
  <c r="H139" i="1"/>
  <c r="B139" i="1" s="1" a="1"/>
  <c r="B139" i="1" s="1"/>
  <c r="H138" i="1"/>
  <c r="B138" i="1" s="1" a="1"/>
  <c r="B138" i="1" s="1"/>
  <c r="H137" i="1"/>
  <c r="B137" i="1" s="1" a="1"/>
  <c r="B137" i="1" s="1"/>
  <c r="H136" i="1"/>
  <c r="B136" i="1" s="1" a="1"/>
  <c r="H135" i="1"/>
  <c r="B135" i="1" s="1" a="1"/>
  <c r="B135" i="1" s="1"/>
  <c r="H134" i="1"/>
  <c r="B134" i="1" s="1" a="1"/>
  <c r="B134" i="1" s="1"/>
  <c r="H133" i="1"/>
  <c r="B133" i="1" s="1" a="1"/>
  <c r="H132" i="1"/>
  <c r="B132" i="1" s="1" a="1"/>
  <c r="B132" i="1" s="1"/>
  <c r="H131" i="1"/>
  <c r="B131" i="1" s="1" a="1"/>
  <c r="B131" i="1" s="1"/>
  <c r="H130" i="1"/>
  <c r="B130" i="1" s="1" a="1"/>
  <c r="H129" i="1"/>
  <c r="B129" i="1" s="1" a="1"/>
  <c r="H128" i="1"/>
  <c r="B128" i="1" s="1" a="1"/>
  <c r="B128" i="1" s="1"/>
  <c r="H127" i="1"/>
  <c r="B127" i="1" s="1" a="1"/>
  <c r="B127" i="1" s="1"/>
  <c r="H126" i="1"/>
  <c r="B126" i="1" s="1" a="1"/>
  <c r="H125" i="1"/>
  <c r="B125" i="1" s="1" a="1"/>
  <c r="B125" i="1" s="1"/>
  <c r="H124" i="1"/>
  <c r="B124" i="1" s="1" a="1"/>
  <c r="H123" i="1"/>
  <c r="B123" i="1" s="1" a="1"/>
  <c r="H122" i="1"/>
  <c r="B122" i="1" s="1" a="1"/>
  <c r="B122" i="1" s="1"/>
  <c r="H121" i="1"/>
  <c r="B121" i="1" s="1" a="1"/>
  <c r="B121" i="1" s="1"/>
  <c r="H120" i="1"/>
  <c r="B120" i="1" s="1" a="1"/>
  <c r="B120" i="1" s="1"/>
  <c r="H119" i="1"/>
  <c r="B119" i="1" s="1" a="1"/>
  <c r="H118" i="1"/>
  <c r="B118" i="1" s="1" a="1"/>
  <c r="H117" i="1"/>
  <c r="B117" i="1" s="1" a="1"/>
  <c r="H116" i="1"/>
  <c r="B116" i="1" s="1" a="1"/>
  <c r="B116" i="1" s="1"/>
  <c r="H115" i="1"/>
  <c r="B115" i="1" s="1" a="1"/>
  <c r="B115" i="1" s="1"/>
  <c r="H114" i="1"/>
  <c r="B114" i="1" s="1" a="1"/>
  <c r="B114" i="1" s="1"/>
  <c r="H113" i="1"/>
  <c r="B113" i="1" s="1" a="1"/>
  <c r="B113" i="1" s="1"/>
  <c r="H112" i="1"/>
  <c r="B112" i="1" s="1" a="1"/>
  <c r="H111" i="1"/>
  <c r="B111" i="1" s="1" a="1"/>
  <c r="H110" i="1"/>
  <c r="B110" i="1" s="1" a="1"/>
  <c r="B110" i="1" s="1"/>
  <c r="H109" i="1"/>
  <c r="B109" i="1" s="1" a="1"/>
  <c r="B109" i="1" s="1"/>
  <c r="H108" i="1"/>
  <c r="B108" i="1" s="1" a="1"/>
  <c r="B108" i="1" s="1"/>
  <c r="H107" i="1"/>
  <c r="B107" i="1" s="1" a="1"/>
  <c r="B107" i="1" s="1"/>
  <c r="H106" i="1"/>
  <c r="B106" i="1" s="1" a="1"/>
  <c r="H105" i="1"/>
  <c r="B105" i="1" s="1" a="1"/>
  <c r="H104" i="1"/>
  <c r="B104" i="1" s="1" a="1"/>
  <c r="H103" i="1"/>
  <c r="B103" i="1" s="1" a="1"/>
  <c r="B103" i="1" s="1"/>
  <c r="H102" i="1"/>
  <c r="B102" i="1" s="1" a="1"/>
  <c r="B102" i="1" s="1"/>
  <c r="H101" i="1"/>
  <c r="B101" i="1" s="1" a="1"/>
  <c r="B101" i="1" s="1"/>
  <c r="H100" i="1"/>
  <c r="B100" i="1" s="1" a="1"/>
  <c r="H99" i="1"/>
  <c r="B99" i="1" s="1" a="1"/>
  <c r="H98" i="1"/>
  <c r="B98" i="1" s="1" a="1"/>
  <c r="B98" i="1" s="1"/>
  <c r="H97" i="1"/>
  <c r="B97" i="1" s="1" a="1"/>
  <c r="H96" i="1"/>
  <c r="B96" i="1" s="1" a="1"/>
  <c r="B96" i="1" s="1"/>
  <c r="H95" i="1"/>
  <c r="B95" i="1" s="1" a="1"/>
  <c r="B95" i="1" s="1"/>
  <c r="H94" i="1"/>
  <c r="B94" i="1" s="1" a="1"/>
  <c r="H93" i="1"/>
  <c r="B93" i="1" s="1" a="1"/>
  <c r="H92" i="1"/>
  <c r="B92" i="1" s="1" a="1"/>
  <c r="B92" i="1" s="1"/>
  <c r="H91" i="1"/>
  <c r="B91" i="1" s="1" a="1"/>
  <c r="B91" i="1" s="1"/>
  <c r="H90" i="1"/>
  <c r="B90" i="1" s="1" a="1"/>
  <c r="H89" i="1"/>
  <c r="B89" i="1" s="1" a="1"/>
  <c r="B89" i="1" s="1"/>
  <c r="H88" i="1"/>
  <c r="B88" i="1" s="1" a="1"/>
  <c r="H87" i="1"/>
  <c r="B87" i="1" s="1" a="1"/>
  <c r="H86" i="1"/>
  <c r="B86" i="1" s="1" a="1"/>
  <c r="B86" i="1" s="1"/>
  <c r="H85" i="1"/>
  <c r="B85" i="1" s="1" a="1"/>
  <c r="B85" i="1" s="1"/>
  <c r="H84" i="1"/>
  <c r="B84" i="1" s="1" a="1"/>
  <c r="H83" i="1"/>
  <c r="B83" i="1" s="1" a="1"/>
  <c r="H82" i="1"/>
  <c r="B82" i="1" s="1" a="1"/>
  <c r="H81" i="1"/>
  <c r="B81" i="1" s="1" a="1"/>
  <c r="H80" i="1"/>
  <c r="B80" i="1" s="1" a="1"/>
  <c r="B80" i="1" s="1"/>
  <c r="H79" i="1"/>
  <c r="B79" i="1" s="1" a="1"/>
  <c r="B79" i="1" s="1"/>
  <c r="H78" i="1"/>
  <c r="B78" i="1" s="1" a="1"/>
  <c r="B78" i="1" s="1"/>
  <c r="H77" i="1"/>
  <c r="B77" i="1" s="1" a="1"/>
  <c r="B77" i="1" s="1"/>
  <c r="H76" i="1"/>
  <c r="B76" i="1" s="1" a="1"/>
  <c r="H75" i="1"/>
  <c r="B75" i="1" s="1" a="1"/>
  <c r="H74" i="1"/>
  <c r="B74" i="1" s="1" a="1"/>
  <c r="B74" i="1" s="1"/>
  <c r="H73" i="1"/>
  <c r="B73" i="1" s="1" a="1"/>
  <c r="B73" i="1" s="1"/>
  <c r="H72" i="1"/>
  <c r="B72" i="1" s="1" a="1"/>
  <c r="B72" i="1" s="1"/>
  <c r="H71" i="1"/>
  <c r="B71" i="1" s="1" a="1"/>
  <c r="B71" i="1" s="1"/>
  <c r="H70" i="1"/>
  <c r="B70" i="1" s="1" a="1"/>
  <c r="H69" i="1"/>
  <c r="B69" i="1" s="1" a="1"/>
  <c r="H68" i="1"/>
  <c r="B68" i="1" s="1" a="1"/>
  <c r="H67" i="1"/>
  <c r="B67" i="1" s="1" a="1"/>
  <c r="B67" i="1" s="1"/>
  <c r="H66" i="1"/>
  <c r="B66" i="1" s="1" a="1"/>
  <c r="B66" i="1" s="1"/>
  <c r="H65" i="1"/>
  <c r="B65" i="1" s="1" a="1"/>
  <c r="B65" i="1" s="1"/>
  <c r="H64" i="1"/>
  <c r="B64" i="1" s="1" a="1"/>
  <c r="H63" i="1"/>
  <c r="B63" i="1" s="1" a="1"/>
  <c r="H62" i="1"/>
  <c r="B62" i="1" s="1" a="1"/>
  <c r="B62" i="1" s="1"/>
  <c r="H61" i="1"/>
  <c r="B61" i="1" s="1" a="1"/>
  <c r="H60" i="1"/>
  <c r="B60" i="1" s="1" a="1"/>
  <c r="B60" i="1" s="1"/>
  <c r="H59" i="1"/>
  <c r="B59" i="1" s="1" a="1"/>
  <c r="H58" i="1"/>
  <c r="B58" i="1" s="1" a="1"/>
  <c r="H57" i="1"/>
  <c r="B57" i="1" s="1" a="1"/>
  <c r="H56" i="1"/>
  <c r="B56" i="1" s="1" a="1"/>
  <c r="B56" i="1" s="1"/>
  <c r="H55" i="1"/>
  <c r="B55" i="1" s="1" a="1"/>
  <c r="B55" i="1" s="1"/>
  <c r="H54" i="1"/>
  <c r="B54" i="1" s="1" a="1"/>
  <c r="H53" i="1"/>
  <c r="B53" i="1" s="1" a="1"/>
  <c r="B53" i="1" s="1"/>
  <c r="H52" i="1"/>
  <c r="B52" i="1" s="1" a="1"/>
  <c r="H51" i="1"/>
  <c r="B51" i="1" s="1" a="1"/>
  <c r="H50" i="1"/>
  <c r="B50" i="1" s="1" a="1"/>
  <c r="B50" i="1" s="1"/>
  <c r="H49" i="1"/>
  <c r="B49" i="1" s="1" a="1"/>
  <c r="B49" i="1" s="1"/>
  <c r="H48" i="1"/>
  <c r="B48" i="1" s="1" a="1"/>
  <c r="B48" i="1" s="1"/>
  <c r="H47" i="1"/>
  <c r="B47" i="1" s="1" a="1"/>
  <c r="H46" i="1"/>
  <c r="B46" i="1" s="1" a="1"/>
  <c r="H45" i="1"/>
  <c r="B45" i="1" s="1" a="1"/>
  <c r="H44" i="1"/>
  <c r="B44" i="1" s="1" a="1"/>
  <c r="B44" i="1" s="1"/>
  <c r="H43" i="1"/>
  <c r="B43" i="1" s="1" a="1"/>
  <c r="B43" i="1" s="1"/>
  <c r="H42" i="1"/>
  <c r="B42" i="1" s="1" a="1"/>
  <c r="B42" i="1" s="1"/>
  <c r="H41" i="1"/>
  <c r="B41" i="1" s="1" a="1"/>
  <c r="B41" i="1" s="1"/>
  <c r="H40" i="1"/>
  <c r="B40" i="1" s="1" a="1"/>
  <c r="H39" i="1"/>
  <c r="B39" i="1" s="1" a="1"/>
  <c r="H38" i="1"/>
  <c r="B38" i="1" s="1" a="1"/>
  <c r="B38" i="1" s="1"/>
  <c r="H37" i="1"/>
  <c r="B37" i="1" s="1" a="1"/>
  <c r="B37" i="1" s="1"/>
  <c r="H36" i="1"/>
  <c r="B36" i="1" s="1" a="1"/>
  <c r="B36" i="1" s="1"/>
  <c r="H35" i="1"/>
  <c r="B35" i="1" s="1" a="1"/>
  <c r="B35" i="1" s="1"/>
  <c r="H34" i="1"/>
  <c r="B34" i="1" s="1" a="1"/>
  <c r="H33" i="1"/>
  <c r="B33" i="1" s="1" a="1"/>
  <c r="H32" i="1"/>
  <c r="B32" i="1" s="1" a="1"/>
  <c r="H31" i="1"/>
  <c r="B31" i="1" s="1" a="1"/>
  <c r="B31" i="1" s="1"/>
  <c r="H30" i="1"/>
  <c r="B30" i="1" s="1" a="1"/>
  <c r="B30" i="1" s="1"/>
  <c r="H29" i="1"/>
  <c r="B29" i="1" s="1" a="1"/>
  <c r="B29" i="1" s="1"/>
  <c r="H28" i="1"/>
  <c r="B28" i="1" s="1" a="1"/>
  <c r="H27" i="1"/>
  <c r="B27" i="1" s="1" a="1"/>
  <c r="H26" i="1"/>
  <c r="B26" i="1" s="1" a="1"/>
  <c r="B26" i="1" s="1"/>
  <c r="H25" i="1"/>
  <c r="B25" i="1" s="1" a="1"/>
  <c r="H24" i="1"/>
  <c r="B24" i="1" s="1" a="1"/>
  <c r="B24" i="1" s="1"/>
  <c r="H23" i="1"/>
  <c r="B23" i="1" s="1" a="1"/>
  <c r="B23" i="1" s="1"/>
  <c r="H22" i="1"/>
  <c r="B22" i="1" s="1" a="1"/>
  <c r="H21" i="1"/>
  <c r="B21" i="1" s="1" a="1"/>
  <c r="H20" i="1"/>
  <c r="B20" i="1" s="1" a="1"/>
  <c r="B20" i="1" s="1"/>
  <c r="H19" i="1"/>
  <c r="B19" i="1" s="1" a="1"/>
  <c r="B19" i="1" s="1"/>
  <c r="H18" i="1"/>
  <c r="B18" i="1" s="1" a="1"/>
  <c r="H17" i="1"/>
  <c r="B17" i="1" s="1" a="1"/>
  <c r="B17" i="1" s="1"/>
  <c r="H16" i="1"/>
  <c r="B16" i="1" s="1" a="1"/>
  <c r="H15" i="1"/>
  <c r="B15" i="1" s="1" a="1"/>
  <c r="H14" i="1"/>
  <c r="B14" i="1" s="1" a="1"/>
  <c r="B14" i="1" s="1"/>
  <c r="H13" i="1"/>
  <c r="B13" i="1" s="1" a="1"/>
  <c r="B13" i="1" s="1"/>
  <c r="H12" i="1"/>
  <c r="B12" i="1" s="1" a="1"/>
  <c r="B12" i="1" s="1"/>
  <c r="H11" i="1"/>
  <c r="B11" i="1" s="1" a="1"/>
  <c r="H10" i="1"/>
  <c r="B10" i="1" s="1" a="1"/>
  <c r="H9" i="1"/>
  <c r="B9" i="1" s="1" a="1"/>
  <c r="H8" i="1"/>
  <c r="B8" i="1" s="1" a="1"/>
  <c r="B8" i="1" s="1"/>
  <c r="H7" i="1"/>
  <c r="B7" i="1" s="1" a="1"/>
  <c r="B7" i="1" s="1"/>
  <c r="H6" i="1"/>
  <c r="B6" i="1" s="1" a="1"/>
  <c r="H5" i="1"/>
  <c r="B5" i="1" s="1" a="1"/>
  <c r="B5" i="1" s="1"/>
  <c r="H4" i="1"/>
  <c r="B4" i="1" s="1" a="1"/>
  <c r="H3" i="1"/>
  <c r="B3" i="1" s="1" a="1"/>
  <c r="H2" i="1"/>
  <c r="B2" i="1" s="1" a="1"/>
  <c r="B2" i="1" s="1"/>
  <c r="C205" i="1" l="1"/>
  <c r="C210" i="1"/>
  <c r="C248" i="1"/>
  <c r="B156" i="1"/>
  <c r="C156" i="1" s="1"/>
  <c r="B90" i="1"/>
  <c r="C90" i="1" s="1"/>
  <c r="B221" i="1"/>
  <c r="C221" i="1" s="1"/>
  <c r="B140" i="1"/>
  <c r="C140" i="1" s="1"/>
  <c r="B328" i="1"/>
  <c r="C328" i="1" s="1"/>
  <c r="B111" i="1"/>
  <c r="C111" i="1" s="1"/>
  <c r="B193" i="1"/>
  <c r="C193" i="1" s="1"/>
  <c r="B188" i="1"/>
  <c r="C188" i="1" s="1"/>
  <c r="B59" i="1"/>
  <c r="C59" i="1" s="1"/>
  <c r="B168" i="1"/>
  <c r="C168" i="1" s="1"/>
  <c r="B84" i="1"/>
  <c r="C84" i="1" s="1"/>
  <c r="B76" i="1"/>
  <c r="C76" i="1" s="1"/>
  <c r="B69" i="1"/>
  <c r="C69" i="1" s="1"/>
  <c r="C12" i="1"/>
  <c r="C113" i="1"/>
  <c r="B99" i="1"/>
  <c r="C99" i="1" s="1"/>
  <c r="B171" i="1"/>
  <c r="C171" i="1" s="1"/>
  <c r="C329" i="1"/>
  <c r="B220" i="1"/>
  <c r="C220" i="1" s="1"/>
  <c r="B292" i="1"/>
  <c r="C292" i="1" s="1"/>
  <c r="B208" i="1"/>
  <c r="C208" i="1" s="1"/>
  <c r="C48" i="1"/>
  <c r="C77" i="1"/>
  <c r="C134" i="1"/>
  <c r="B178" i="1"/>
  <c r="C178" i="1" s="1"/>
  <c r="B214" i="1"/>
  <c r="C214" i="1" s="1"/>
  <c r="C293" i="1"/>
  <c r="B27" i="1"/>
  <c r="C27" i="1" s="1"/>
  <c r="C13" i="1"/>
  <c r="C56" i="1"/>
  <c r="C85" i="1"/>
  <c r="C128" i="1"/>
  <c r="C157" i="1"/>
  <c r="C200" i="1"/>
  <c r="B280" i="1"/>
  <c r="C280" i="1" s="1"/>
  <c r="B316" i="1"/>
  <c r="C316" i="1" s="1"/>
  <c r="C323" i="1"/>
  <c r="B57" i="1"/>
  <c r="C57" i="1" s="1"/>
  <c r="B129" i="1"/>
  <c r="C129" i="1" s="1"/>
  <c r="C7" i="1"/>
  <c r="B22" i="1"/>
  <c r="C22" i="1" s="1"/>
  <c r="C36" i="1"/>
  <c r="C50" i="1"/>
  <c r="C65" i="1"/>
  <c r="C79" i="1"/>
  <c r="B94" i="1"/>
  <c r="C94" i="1" s="1"/>
  <c r="C108" i="1"/>
  <c r="C122" i="1"/>
  <c r="C137" i="1"/>
  <c r="C151" i="1"/>
  <c r="B166" i="1"/>
  <c r="C166" i="1" s="1"/>
  <c r="C180" i="1"/>
  <c r="C194" i="1"/>
  <c r="C209" i="1"/>
  <c r="C230" i="1"/>
  <c r="C245" i="1"/>
  <c r="C266" i="1"/>
  <c r="B274" i="1"/>
  <c r="C274" i="1" s="1"/>
  <c r="C281" i="1"/>
  <c r="B310" i="1"/>
  <c r="C310" i="1" s="1"/>
  <c r="C317" i="1"/>
  <c r="B105" i="1"/>
  <c r="C105" i="1" s="1"/>
  <c r="C5" i="1"/>
  <c r="C41" i="1"/>
  <c r="C62" i="1"/>
  <c r="C127" i="1"/>
  <c r="C170" i="1"/>
  <c r="C206" i="1"/>
  <c r="C335" i="1"/>
  <c r="B63" i="1"/>
  <c r="C63" i="1" s="1"/>
  <c r="B28" i="1"/>
  <c r="C28" i="1" s="1"/>
  <c r="C78" i="1"/>
  <c r="C107" i="1"/>
  <c r="C150" i="1"/>
  <c r="C186" i="1"/>
  <c r="C251" i="1"/>
  <c r="C287" i="1"/>
  <c r="B298" i="1"/>
  <c r="C298" i="1" s="1"/>
  <c r="B21" i="1"/>
  <c r="C21" i="1" s="1"/>
  <c r="B93" i="1"/>
  <c r="C93" i="1" s="1"/>
  <c r="B309" i="1"/>
  <c r="C309" i="1" s="1"/>
  <c r="C14" i="1"/>
  <c r="C29" i="1"/>
  <c r="C43" i="1"/>
  <c r="B58" i="1"/>
  <c r="C58" i="1" s="1"/>
  <c r="C72" i="1"/>
  <c r="C86" i="1"/>
  <c r="C101" i="1"/>
  <c r="C115" i="1"/>
  <c r="B130" i="1"/>
  <c r="C130" i="1" s="1"/>
  <c r="C144" i="1"/>
  <c r="C158" i="1"/>
  <c r="C173" i="1"/>
  <c r="C187" i="1"/>
  <c r="B202" i="1"/>
  <c r="C202" i="1" s="1"/>
  <c r="B238" i="1"/>
  <c r="C238" i="1" s="1"/>
  <c r="B15" i="1"/>
  <c r="C15" i="1" s="1"/>
  <c r="B51" i="1"/>
  <c r="C51" i="1" s="1"/>
  <c r="B87" i="1"/>
  <c r="C87" i="1" s="1"/>
  <c r="B123" i="1"/>
  <c r="C123" i="1" s="1"/>
  <c r="B303" i="1"/>
  <c r="C303" i="1" s="1"/>
  <c r="C331" i="1"/>
  <c r="B184" i="1"/>
  <c r="C184" i="1" s="1"/>
  <c r="B256" i="1"/>
  <c r="C256" i="1" s="1"/>
  <c r="B33" i="1"/>
  <c r="C33" i="1" s="1"/>
  <c r="C19" i="1"/>
  <c r="B106" i="1"/>
  <c r="C106" i="1" s="1"/>
  <c r="C185" i="1"/>
  <c r="C257" i="1"/>
  <c r="C49" i="1"/>
  <c r="C114" i="1"/>
  <c r="C179" i="1"/>
  <c r="C37" i="1"/>
  <c r="C152" i="1"/>
  <c r="B40" i="1"/>
  <c r="C40" i="1" s="1"/>
  <c r="B148" i="1"/>
  <c r="C148" i="1" s="1"/>
  <c r="B334" i="1"/>
  <c r="C334" i="1" s="1"/>
  <c r="B177" i="1"/>
  <c r="C177" i="1" s="1"/>
  <c r="C55" i="1"/>
  <c r="C98" i="1"/>
  <c r="B142" i="1"/>
  <c r="C142" i="1" s="1"/>
  <c r="C199" i="1"/>
  <c r="B286" i="1"/>
  <c r="C286" i="1" s="1"/>
  <c r="C42" i="1"/>
  <c r="C143" i="1"/>
  <c r="C236" i="1"/>
  <c r="B16" i="1"/>
  <c r="C16" i="1" s="1"/>
  <c r="B52" i="1"/>
  <c r="C52" i="1" s="1"/>
  <c r="C80" i="1"/>
  <c r="C109" i="1"/>
  <c r="C131" i="1"/>
  <c r="C167" i="1"/>
  <c r="C217" i="1"/>
  <c r="C224" i="1"/>
  <c r="B232" i="1"/>
  <c r="C232" i="1" s="1"/>
  <c r="C239" i="1"/>
  <c r="C260" i="1"/>
  <c r="B268" i="1"/>
  <c r="C268" i="1" s="1"/>
  <c r="C275" i="1"/>
  <c r="B304" i="1"/>
  <c r="C304" i="1" s="1"/>
  <c r="C311" i="1"/>
  <c r="B332" i="1"/>
  <c r="C332" i="1" s="1"/>
  <c r="B352" i="1"/>
  <c r="C352" i="1" s="1"/>
  <c r="B9" i="1"/>
  <c r="C9" i="1" s="1"/>
  <c r="B45" i="1"/>
  <c r="C45" i="1" s="1"/>
  <c r="B81" i="1"/>
  <c r="C81" i="1" s="1"/>
  <c r="B117" i="1"/>
  <c r="C117" i="1" s="1"/>
  <c r="B346" i="1"/>
  <c r="C346" i="1" s="1"/>
  <c r="B4" i="1"/>
  <c r="C4" i="1" s="1"/>
  <c r="B112" i="1"/>
  <c r="C112" i="1" s="1"/>
  <c r="B183" i="1"/>
  <c r="C183" i="1" s="1"/>
  <c r="C341" i="1"/>
  <c r="B34" i="1"/>
  <c r="C34" i="1" s="1"/>
  <c r="C91" i="1"/>
  <c r="C149" i="1"/>
  <c r="C192" i="1"/>
  <c r="B250" i="1"/>
  <c r="C250" i="1" s="1"/>
  <c r="B322" i="1"/>
  <c r="C322" i="1" s="1"/>
  <c r="C35" i="1"/>
  <c r="C71" i="1"/>
  <c r="B100" i="1"/>
  <c r="C100" i="1" s="1"/>
  <c r="B136" i="1"/>
  <c r="C136" i="1" s="1"/>
  <c r="B172" i="1"/>
  <c r="C172" i="1" s="1"/>
  <c r="B244" i="1"/>
  <c r="C244" i="1" s="1"/>
  <c r="C8" i="1"/>
  <c r="C30" i="1"/>
  <c r="C66" i="1"/>
  <c r="B88" i="1"/>
  <c r="C88" i="1" s="1"/>
  <c r="C102" i="1"/>
  <c r="B124" i="1"/>
  <c r="C124" i="1" s="1"/>
  <c r="C145" i="1"/>
  <c r="C174" i="1"/>
  <c r="B196" i="1"/>
  <c r="C196" i="1" s="1"/>
  <c r="C2" i="1"/>
  <c r="C17" i="1"/>
  <c r="C31" i="1"/>
  <c r="B46" i="1"/>
  <c r="C46" i="1" s="1"/>
  <c r="C60" i="1"/>
  <c r="C74" i="1"/>
  <c r="C89" i="1"/>
  <c r="C103" i="1"/>
  <c r="C125" i="1"/>
  <c r="C139" i="1"/>
  <c r="B154" i="1"/>
  <c r="C154" i="1" s="1"/>
  <c r="C175" i="1"/>
  <c r="B190" i="1"/>
  <c r="C190" i="1" s="1"/>
  <c r="C204" i="1"/>
  <c r="C218" i="1"/>
  <c r="B226" i="1"/>
  <c r="C226" i="1" s="1"/>
  <c r="C233" i="1"/>
  <c r="B262" i="1"/>
  <c r="C262" i="1" s="1"/>
  <c r="C269" i="1"/>
  <c r="C305" i="1"/>
  <c r="C254" i="1"/>
  <c r="B285" i="1"/>
  <c r="C285" i="1" s="1"/>
  <c r="B141" i="1"/>
  <c r="C141" i="1" s="1"/>
  <c r="C26" i="1"/>
  <c r="B70" i="1"/>
  <c r="C70" i="1" s="1"/>
  <c r="C120" i="1"/>
  <c r="C163" i="1"/>
  <c r="C242" i="1"/>
  <c r="C110" i="1"/>
  <c r="B6" i="1"/>
  <c r="C6" i="1" s="1"/>
  <c r="C20" i="1"/>
  <c r="B64" i="1"/>
  <c r="C64" i="1" s="1"/>
  <c r="C92" i="1"/>
  <c r="C121" i="1"/>
  <c r="C164" i="1"/>
  <c r="C215" i="1"/>
  <c r="C23" i="1"/>
  <c r="C44" i="1"/>
  <c r="C73" i="1"/>
  <c r="C95" i="1"/>
  <c r="C116" i="1"/>
  <c r="C138" i="1"/>
  <c r="B160" i="1"/>
  <c r="C160" i="1" s="1"/>
  <c r="C181" i="1"/>
  <c r="C203" i="1"/>
  <c r="B10" i="1"/>
  <c r="C10" i="1" s="1"/>
  <c r="C24" i="1"/>
  <c r="C38" i="1"/>
  <c r="C53" i="1"/>
  <c r="C67" i="1"/>
  <c r="B82" i="1"/>
  <c r="C82" i="1" s="1"/>
  <c r="C96" i="1"/>
  <c r="B118" i="1"/>
  <c r="C118" i="1" s="1"/>
  <c r="C132" i="1"/>
  <c r="C146" i="1"/>
  <c r="C161" i="1"/>
  <c r="C182" i="1"/>
  <c r="C197" i="1"/>
  <c r="B3" i="1"/>
  <c r="C3" i="1" s="1"/>
  <c r="B11" i="1"/>
  <c r="C11" i="1" s="1"/>
  <c r="B18" i="1"/>
  <c r="C18" i="1" s="1"/>
  <c r="B25" i="1"/>
  <c r="C25" i="1" s="1"/>
  <c r="B32" i="1"/>
  <c r="C32" i="1" s="1"/>
  <c r="B39" i="1"/>
  <c r="C39" i="1" s="1"/>
  <c r="B47" i="1"/>
  <c r="C47" i="1" s="1"/>
  <c r="B54" i="1"/>
  <c r="C54" i="1" s="1"/>
  <c r="B61" i="1"/>
  <c r="C61" i="1" s="1"/>
  <c r="B68" i="1"/>
  <c r="C68" i="1" s="1"/>
  <c r="B75" i="1"/>
  <c r="C75" i="1" s="1"/>
  <c r="B83" i="1"/>
  <c r="C83" i="1" s="1"/>
  <c r="B97" i="1"/>
  <c r="C97" i="1" s="1"/>
  <c r="B104" i="1"/>
  <c r="C104" i="1" s="1"/>
  <c r="B119" i="1"/>
  <c r="C119" i="1" s="1"/>
  <c r="B126" i="1"/>
  <c r="C126" i="1" s="1"/>
  <c r="B133" i="1"/>
  <c r="C133" i="1" s="1"/>
  <c r="B155" i="1"/>
  <c r="C155" i="1" s="1"/>
  <c r="B162" i="1"/>
  <c r="C162" i="1" s="1"/>
  <c r="B169" i="1"/>
  <c r="C169" i="1" s="1"/>
  <c r="B176" i="1"/>
  <c r="C176" i="1" s="1"/>
  <c r="B191" i="1"/>
  <c r="C191" i="1" s="1"/>
  <c r="B198" i="1"/>
  <c r="C198" i="1" s="1"/>
  <c r="B212" i="1"/>
  <c r="C212" i="1" s="1"/>
  <c r="B227" i="1"/>
  <c r="C227" i="1" s="1"/>
  <c r="B255" i="1"/>
  <c r="C255" i="1" s="1"/>
  <c r="B263" i="1"/>
  <c r="C263" i="1" s="1"/>
  <c r="B284" i="1"/>
  <c r="C284" i="1" s="1"/>
  <c r="B299" i="1"/>
  <c r="C299" i="1" s="1"/>
  <c r="B340" i="1"/>
  <c r="C340" i="1" s="1"/>
  <c r="C347" i="1"/>
  <c r="B267" i="1"/>
  <c r="C267" i="1" s="1"/>
  <c r="C216" i="1"/>
  <c r="C222" i="1"/>
  <c r="C228" i="1"/>
  <c r="C234" i="1"/>
  <c r="C240" i="1"/>
  <c r="C246" i="1"/>
  <c r="C252" i="1"/>
  <c r="C258" i="1"/>
  <c r="C264" i="1"/>
  <c r="C270" i="1"/>
  <c r="C276" i="1"/>
  <c r="C282" i="1"/>
  <c r="C288" i="1"/>
  <c r="C294" i="1"/>
  <c r="C300" i="1"/>
  <c r="C306" i="1"/>
  <c r="C312" i="1"/>
  <c r="C318" i="1"/>
  <c r="C324" i="1"/>
  <c r="C330" i="1"/>
  <c r="C336" i="1"/>
  <c r="C342" i="1"/>
  <c r="C348" i="1"/>
  <c r="C211" i="1"/>
  <c r="C223" i="1"/>
  <c r="C229" i="1"/>
  <c r="C235" i="1"/>
  <c r="C241" i="1"/>
  <c r="C247" i="1"/>
  <c r="C253" i="1"/>
  <c r="C259" i="1"/>
  <c r="C265" i="1"/>
  <c r="C271" i="1"/>
  <c r="C277" i="1"/>
  <c r="C283" i="1"/>
  <c r="C289" i="1"/>
  <c r="C295" i="1"/>
  <c r="C301" i="1"/>
  <c r="C307" i="1"/>
  <c r="C313" i="1"/>
  <c r="C319" i="1"/>
  <c r="C325" i="1"/>
  <c r="C337" i="1"/>
  <c r="C343" i="1"/>
  <c r="C349" i="1"/>
  <c r="C290" i="1"/>
  <c r="C302" i="1"/>
  <c r="C320" i="1"/>
  <c r="C344" i="1"/>
  <c r="C272" i="1"/>
  <c r="C278" i="1"/>
  <c r="C296" i="1"/>
  <c r="C308" i="1"/>
  <c r="C314" i="1"/>
  <c r="C326" i="1"/>
  <c r="C338" i="1"/>
  <c r="C350" i="1"/>
  <c r="B213" i="1"/>
  <c r="C213" i="1" s="1"/>
  <c r="B249" i="1"/>
  <c r="C249" i="1" s="1"/>
  <c r="B345" i="1"/>
  <c r="C345" i="1" s="1"/>
  <c r="C219" i="1"/>
  <c r="C231" i="1"/>
  <c r="C243" i="1"/>
  <c r="C273" i="1"/>
  <c r="C291" i="1"/>
  <c r="C321" i="1"/>
  <c r="C339" i="1"/>
  <c r="C135" i="1"/>
  <c r="C147" i="1"/>
  <c r="C153" i="1"/>
  <c r="C159" i="1"/>
  <c r="C165" i="1"/>
  <c r="C189" i="1"/>
  <c r="C195" i="1"/>
  <c r="C201" i="1"/>
  <c r="C207" i="1"/>
  <c r="C225" i="1"/>
  <c r="C237" i="1"/>
  <c r="C261" i="1"/>
  <c r="C279" i="1"/>
  <c r="C297" i="1"/>
  <c r="C315" i="1"/>
  <c r="C327" i="1"/>
  <c r="C333" i="1"/>
  <c r="C35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<sst xmlns="http://schemas.openxmlformats.org/spreadsheetml/2006/main" count="3783" uniqueCount="1282">
  <si>
    <t>Client</t>
  </si>
  <si>
    <t xml:space="preserve">Cities and Towns </t>
  </si>
  <si>
    <t>Municipal_Type</t>
  </si>
  <si>
    <t>County</t>
  </si>
  <si>
    <t>Subregion</t>
  </si>
  <si>
    <t>City</t>
  </si>
  <si>
    <t>Town</t>
  </si>
  <si>
    <t>Adams</t>
  </si>
  <si>
    <t>Alford</t>
  </si>
  <si>
    <t>Becket</t>
  </si>
  <si>
    <t>Blandford</t>
  </si>
  <si>
    <t>Charlemont</t>
  </si>
  <si>
    <t>Cheshire</t>
  </si>
  <si>
    <t>Chester</t>
  </si>
  <si>
    <t>Clarksburg</t>
  </si>
  <si>
    <t>Cummington</t>
  </si>
  <si>
    <t>Dalton</t>
  </si>
  <si>
    <t>Egremont</t>
  </si>
  <si>
    <t>Florida</t>
  </si>
  <si>
    <t>Granville</t>
  </si>
  <si>
    <t>Great Barrington</t>
  </si>
  <si>
    <t>Hancock</t>
  </si>
  <si>
    <t>Hawley</t>
  </si>
  <si>
    <t>Hinsdale</t>
  </si>
  <si>
    <t>Lanesborough</t>
  </si>
  <si>
    <t>Lee</t>
  </si>
  <si>
    <t>Lenox</t>
  </si>
  <si>
    <t>Middlefield</t>
  </si>
  <si>
    <t>Monroe</t>
  </si>
  <si>
    <t>Monterey</t>
  </si>
  <si>
    <t>Mount Washington</t>
  </si>
  <si>
    <t>New Ashford</t>
  </si>
  <si>
    <t>New Marlborough</t>
  </si>
  <si>
    <t>North Adams</t>
  </si>
  <si>
    <t>Otis</t>
  </si>
  <si>
    <t>Peru</t>
  </si>
  <si>
    <t>Pittsfield</t>
  </si>
  <si>
    <t>Plainfield</t>
  </si>
  <si>
    <t>Richmond</t>
  </si>
  <si>
    <t>Rowe</t>
  </si>
  <si>
    <t>Russell</t>
  </si>
  <si>
    <t>Sandisfield</t>
  </si>
  <si>
    <t>Savoy</t>
  </si>
  <si>
    <t>Sheffield</t>
  </si>
  <si>
    <t>Stockbridge</t>
  </si>
  <si>
    <t>Tolland</t>
  </si>
  <si>
    <t>Tyringham</t>
  </si>
  <si>
    <t>Washington</t>
  </si>
  <si>
    <t>West Stockbridge</t>
  </si>
  <si>
    <t>Williamstown</t>
  </si>
  <si>
    <t>Windsor</t>
  </si>
  <si>
    <t>Worthington</t>
  </si>
  <si>
    <t>Abington</t>
  </si>
  <si>
    <t>Aquinnah</t>
  </si>
  <si>
    <t>Barnstable</t>
  </si>
  <si>
    <t>Bourne</t>
  </si>
  <si>
    <t>Brewster</t>
  </si>
  <si>
    <t>Bridgewater</t>
  </si>
  <si>
    <t>Brockton</t>
  </si>
  <si>
    <t>Carver</t>
  </si>
  <si>
    <t>Chatham</t>
  </si>
  <si>
    <t>Chilmark</t>
  </si>
  <si>
    <t>Dennis</t>
  </si>
  <si>
    <t>Duxbury</t>
  </si>
  <si>
    <t>East Bridgewater</t>
  </si>
  <si>
    <t>Eastham</t>
  </si>
  <si>
    <t>Edgartown</t>
  </si>
  <si>
    <t>Falmouth</t>
  </si>
  <si>
    <t>Gosnold</t>
  </si>
  <si>
    <t>Halifax</t>
  </si>
  <si>
    <t>Hanover</t>
  </si>
  <si>
    <t>Hanson</t>
  </si>
  <si>
    <t>Harwich</t>
  </si>
  <si>
    <t>Kingston</t>
  </si>
  <si>
    <t>Lakeville</t>
  </si>
  <si>
    <t>Marion</t>
  </si>
  <si>
    <t>Mashpee</t>
  </si>
  <si>
    <t>Mattapoisett</t>
  </si>
  <si>
    <t>Middleborough</t>
  </si>
  <si>
    <t>Nantucket</t>
  </si>
  <si>
    <t>Oak Bluffs</t>
  </si>
  <si>
    <t>Orleans</t>
  </si>
  <si>
    <t>Pembroke</t>
  </si>
  <si>
    <t>Plymouth</t>
  </si>
  <si>
    <t>Plympton</t>
  </si>
  <si>
    <t>Provincetown</t>
  </si>
  <si>
    <t>Rochester</t>
  </si>
  <si>
    <t>Sandwich</t>
  </si>
  <si>
    <t>Tisbury</t>
  </si>
  <si>
    <t>Truro</t>
  </si>
  <si>
    <t>Wareham</t>
  </si>
  <si>
    <t>Wellfleet</t>
  </si>
  <si>
    <t>West Bridgewater</t>
  </si>
  <si>
    <t>West Tisbury</t>
  </si>
  <si>
    <t>Whitman</t>
  </si>
  <si>
    <t>Yarmouth</t>
  </si>
  <si>
    <t>Acton</t>
  </si>
  <si>
    <t>Ashburnham</t>
  </si>
  <si>
    <t>Ashby</t>
  </si>
  <si>
    <t>Athol</t>
  </si>
  <si>
    <t>Ayer</t>
  </si>
  <si>
    <t>Barre</t>
  </si>
  <si>
    <t>Berlin</t>
  </si>
  <si>
    <t>Bolton</t>
  </si>
  <si>
    <t>Boxborough</t>
  </si>
  <si>
    <t>Boylston</t>
  </si>
  <si>
    <t>Clinton</t>
  </si>
  <si>
    <t>Fitchburg</t>
  </si>
  <si>
    <t>Gardner</t>
  </si>
  <si>
    <t>Groton</t>
  </si>
  <si>
    <t>Hardwick</t>
  </si>
  <si>
    <t>Harvard</t>
  </si>
  <si>
    <t>Hopkinton</t>
  </si>
  <si>
    <t>Hubbardston</t>
  </si>
  <si>
    <t>Hudson</t>
  </si>
  <si>
    <t>Lancaster</t>
  </si>
  <si>
    <t>Leominster</t>
  </si>
  <si>
    <t>Littleton</t>
  </si>
  <si>
    <t>Lunenburg</t>
  </si>
  <si>
    <t>Marlborough</t>
  </si>
  <si>
    <t>Maynard</t>
  </si>
  <si>
    <t>New Braintree</t>
  </si>
  <si>
    <t>North Brookfield</t>
  </si>
  <si>
    <t>Northborough</t>
  </si>
  <si>
    <t>Oakham</t>
  </si>
  <si>
    <t>Pepperell</t>
  </si>
  <si>
    <t>Petersham</t>
  </si>
  <si>
    <t>Phillipston</t>
  </si>
  <si>
    <t>Princeton</t>
  </si>
  <si>
    <t>Royalston</t>
  </si>
  <si>
    <t>Shirley</t>
  </si>
  <si>
    <t>Southborough</t>
  </si>
  <si>
    <t>Sterling</t>
  </si>
  <si>
    <t>Stow</t>
  </si>
  <si>
    <t>Templeton</t>
  </si>
  <si>
    <t>Townsend</t>
  </si>
  <si>
    <t>West Boylston</t>
  </si>
  <si>
    <t>Westborough</t>
  </si>
  <si>
    <t>Westminster</t>
  </si>
  <si>
    <t>Winchendon</t>
  </si>
  <si>
    <t>Arlington</t>
  </si>
  <si>
    <t>Ashland</t>
  </si>
  <si>
    <t>Bedford</t>
  </si>
  <si>
    <t>Belmont</t>
  </si>
  <si>
    <t>Boston</t>
  </si>
  <si>
    <t>Brookline</t>
  </si>
  <si>
    <t>Burlington</t>
  </si>
  <si>
    <t>Cambridge</t>
  </si>
  <si>
    <t>Chelsea</t>
  </si>
  <si>
    <t>Concord</t>
  </si>
  <si>
    <t>Dedham</t>
  </si>
  <si>
    <t>Dover</t>
  </si>
  <si>
    <t>Everett</t>
  </si>
  <si>
    <t>Framingham</t>
  </si>
  <si>
    <t>Holliston</t>
  </si>
  <si>
    <t>Lexington</t>
  </si>
  <si>
    <t>Lincoln</t>
  </si>
  <si>
    <t>Malden</t>
  </si>
  <si>
    <t>Medfield</t>
  </si>
  <si>
    <t>Medford</t>
  </si>
  <si>
    <t>Melrose</t>
  </si>
  <si>
    <t>Milton</t>
  </si>
  <si>
    <t>Natick</t>
  </si>
  <si>
    <t>Needham</t>
  </si>
  <si>
    <t>Newton</t>
  </si>
  <si>
    <t>Norwood</t>
  </si>
  <si>
    <t>Quincy</t>
  </si>
  <si>
    <t>Reading</t>
  </si>
  <si>
    <t>Revere</t>
  </si>
  <si>
    <t>Sherborn</t>
  </si>
  <si>
    <t>Somerville</t>
  </si>
  <si>
    <t>Stoneham</t>
  </si>
  <si>
    <t>Sudbury</t>
  </si>
  <si>
    <t>Wakefield</t>
  </si>
  <si>
    <t>Waltham</t>
  </si>
  <si>
    <t>Watertown</t>
  </si>
  <si>
    <t>Wayland</t>
  </si>
  <si>
    <t>Wellesley</t>
  </si>
  <si>
    <t>Weston</t>
  </si>
  <si>
    <t>Westwood</t>
  </si>
  <si>
    <t>Wilmington</t>
  </si>
  <si>
    <t>Winchester</t>
  </si>
  <si>
    <t>Winthrop</t>
  </si>
  <si>
    <t>Woburn</t>
  </si>
  <si>
    <t>Amesbury</t>
  </si>
  <si>
    <t>Andover</t>
  </si>
  <si>
    <t>Beverly</t>
  </si>
  <si>
    <t>Billerica</t>
  </si>
  <si>
    <t>Boxford</t>
  </si>
  <si>
    <t>Carlisle</t>
  </si>
  <si>
    <t>Chelmsford</t>
  </si>
  <si>
    <t>Danvers</t>
  </si>
  <si>
    <t>Dracut</t>
  </si>
  <si>
    <t>Dunstable</t>
  </si>
  <si>
    <t>Essex</t>
  </si>
  <si>
    <t>Georgetown</t>
  </si>
  <si>
    <t>Gloucester</t>
  </si>
  <si>
    <t>Groveland</t>
  </si>
  <si>
    <t>Hamilton</t>
  </si>
  <si>
    <t>Haverhill</t>
  </si>
  <si>
    <t>Ipswich</t>
  </si>
  <si>
    <t>Lawrence</t>
  </si>
  <si>
    <t>Lowell</t>
  </si>
  <si>
    <t>Lynn</t>
  </si>
  <si>
    <t>Lynnfield</t>
  </si>
  <si>
    <t>Marblehead</t>
  </si>
  <si>
    <t>Merrimac</t>
  </si>
  <si>
    <t>Methuen</t>
  </si>
  <si>
    <t>Middleton</t>
  </si>
  <si>
    <t>Nahant</t>
  </si>
  <si>
    <t>Newbury</t>
  </si>
  <si>
    <t>Newburyport</t>
  </si>
  <si>
    <t>North Andover</t>
  </si>
  <si>
    <t>North Reading</t>
  </si>
  <si>
    <t>Peabody</t>
  </si>
  <si>
    <t>Rockport</t>
  </si>
  <si>
    <t>Rowley</t>
  </si>
  <si>
    <t>Salem</t>
  </si>
  <si>
    <t>Salisbury</t>
  </si>
  <si>
    <t>Saugus</t>
  </si>
  <si>
    <t>Swampscott</t>
  </si>
  <si>
    <t>Tewksbury</t>
  </si>
  <si>
    <t>Topsfield</t>
  </si>
  <si>
    <t>Tyngsborough</t>
  </si>
  <si>
    <t>Wenham</t>
  </si>
  <si>
    <t>West Newbury</t>
  </si>
  <si>
    <t>Westford</t>
  </si>
  <si>
    <t>Acushnet</t>
  </si>
  <si>
    <t>Attleboro</t>
  </si>
  <si>
    <t>Avon</t>
  </si>
  <si>
    <t>Berkley</t>
  </si>
  <si>
    <t>Braintree</t>
  </si>
  <si>
    <t>Canton</t>
  </si>
  <si>
    <t>Cohasset</t>
  </si>
  <si>
    <t>Dartmouth</t>
  </si>
  <si>
    <t>Dighton</t>
  </si>
  <si>
    <t>Easton</t>
  </si>
  <si>
    <t>Fairhaven</t>
  </si>
  <si>
    <t>Fall River</t>
  </si>
  <si>
    <t>Foxborough</t>
  </si>
  <si>
    <t>Franklin</t>
  </si>
  <si>
    <t>Freetown</t>
  </si>
  <si>
    <t>Hingham</t>
  </si>
  <si>
    <t>Holbrook</t>
  </si>
  <si>
    <t>Hull</t>
  </si>
  <si>
    <t>Mansfield</t>
  </si>
  <si>
    <t>Marshfield</t>
  </si>
  <si>
    <t>Medway</t>
  </si>
  <si>
    <t>Millis</t>
  </si>
  <si>
    <t>New Bedford</t>
  </si>
  <si>
    <t>Norfolk</t>
  </si>
  <si>
    <t>North Attleborough</t>
  </si>
  <si>
    <t>Norton</t>
  </si>
  <si>
    <t>Norwell</t>
  </si>
  <si>
    <t>Plainville</t>
  </si>
  <si>
    <t>Randolph</t>
  </si>
  <si>
    <t>Raynham</t>
  </si>
  <si>
    <t>Rehoboth</t>
  </si>
  <si>
    <t>Rockland</t>
  </si>
  <si>
    <t>Scituate</t>
  </si>
  <si>
    <t>Seekonk</t>
  </si>
  <si>
    <t>Sharon</t>
  </si>
  <si>
    <t>Somerset</t>
  </si>
  <si>
    <t>Stoughton</t>
  </si>
  <si>
    <t>Swansea</t>
  </si>
  <si>
    <t>Taunton</t>
  </si>
  <si>
    <t>Walpole</t>
  </si>
  <si>
    <t>Westport</t>
  </si>
  <si>
    <t>Weymouth</t>
  </si>
  <si>
    <t>Wrentham</t>
  </si>
  <si>
    <t>Auburn</t>
  </si>
  <si>
    <t>Belchertown</t>
  </si>
  <si>
    <t>Bellingham</t>
  </si>
  <si>
    <t>Blackstone</t>
  </si>
  <si>
    <t>Brimfield</t>
  </si>
  <si>
    <t>Brookfield</t>
  </si>
  <si>
    <t>Charlton</t>
  </si>
  <si>
    <t>Douglas</t>
  </si>
  <si>
    <t>Dudley</t>
  </si>
  <si>
    <t>East Brookfield</t>
  </si>
  <si>
    <t>East Longmeadow</t>
  </si>
  <si>
    <t>Grafton</t>
  </si>
  <si>
    <t>Granby</t>
  </si>
  <si>
    <t>Hampden</t>
  </si>
  <si>
    <t>Holden</t>
  </si>
  <si>
    <t>Holland</t>
  </si>
  <si>
    <t>Hopedale</t>
  </si>
  <si>
    <t>Leicester</t>
  </si>
  <si>
    <t>Ludlow</t>
  </si>
  <si>
    <t>Mendon</t>
  </si>
  <si>
    <t>Milford</t>
  </si>
  <si>
    <t>Millbury</t>
  </si>
  <si>
    <t>Millville</t>
  </si>
  <si>
    <t>Monson</t>
  </si>
  <si>
    <t>Northbridge</t>
  </si>
  <si>
    <t>Oxford</t>
  </si>
  <si>
    <t>Palmer</t>
  </si>
  <si>
    <t>Paxton</t>
  </si>
  <si>
    <t>Rutland</t>
  </si>
  <si>
    <t>Shrewsbury</t>
  </si>
  <si>
    <t>Southbridge</t>
  </si>
  <si>
    <t>Spencer</t>
  </si>
  <si>
    <t>Sturbridge</t>
  </si>
  <si>
    <t>Sutton</t>
  </si>
  <si>
    <t>Upton</t>
  </si>
  <si>
    <t>Uxbridge</t>
  </si>
  <si>
    <t>Wales</t>
  </si>
  <si>
    <t>Ware</t>
  </si>
  <si>
    <t>Warren</t>
  </si>
  <si>
    <t>Webster</t>
  </si>
  <si>
    <t>West Brookfield</t>
  </si>
  <si>
    <t>Wilbraham</t>
  </si>
  <si>
    <t>Worcester</t>
  </si>
  <si>
    <t>Agawam</t>
  </si>
  <si>
    <t>Amherst</t>
  </si>
  <si>
    <t>Ashfield</t>
  </si>
  <si>
    <t>Bernardston</t>
  </si>
  <si>
    <t>Buckland</t>
  </si>
  <si>
    <t>Chesterfield</t>
  </si>
  <si>
    <t>Chicopee</t>
  </si>
  <si>
    <t>Colrain</t>
  </si>
  <si>
    <t>Conway</t>
  </si>
  <si>
    <t>Deerfield</t>
  </si>
  <si>
    <t>Easthampton</t>
  </si>
  <si>
    <t>Erving</t>
  </si>
  <si>
    <t>Gill</t>
  </si>
  <si>
    <t>Goshen</t>
  </si>
  <si>
    <t>Greenfield</t>
  </si>
  <si>
    <t>Hadley</t>
  </si>
  <si>
    <t>Hatfield</t>
  </si>
  <si>
    <t>Heath</t>
  </si>
  <si>
    <t>Holyoke</t>
  </si>
  <si>
    <t>Huntington</t>
  </si>
  <si>
    <t>Leverett</t>
  </si>
  <si>
    <t>Leyden</t>
  </si>
  <si>
    <t>Longmeadow</t>
  </si>
  <si>
    <t>Montague</t>
  </si>
  <si>
    <t>Montgomery</t>
  </si>
  <si>
    <t>New Salem</t>
  </si>
  <si>
    <t>Northampton</t>
  </si>
  <si>
    <t>Northfield</t>
  </si>
  <si>
    <t>Orange</t>
  </si>
  <si>
    <t>Pelham</t>
  </si>
  <si>
    <t>Shelburne</t>
  </si>
  <si>
    <t>Shutesbury</t>
  </si>
  <si>
    <t>South Hadley</t>
  </si>
  <si>
    <t>Southampton</t>
  </si>
  <si>
    <t>Southwick</t>
  </si>
  <si>
    <t>Springfield</t>
  </si>
  <si>
    <t>Sunderland</t>
  </si>
  <si>
    <t>Warwick</t>
  </si>
  <si>
    <t>Wendell</t>
  </si>
  <si>
    <t>West Springfield</t>
  </si>
  <si>
    <t>Westfield</t>
  </si>
  <si>
    <t>Westhampton</t>
  </si>
  <si>
    <t>Whately</t>
  </si>
  <si>
    <t>Williamsburg</t>
  </si>
  <si>
    <t>Berkshire</t>
  </si>
  <si>
    <t>Hampshire</t>
  </si>
  <si>
    <t>Dukes</t>
  </si>
  <si>
    <t>Middlesex</t>
  </si>
  <si>
    <t>Suffolk</t>
  </si>
  <si>
    <t>Bristol</t>
  </si>
  <si>
    <t>Household Name</t>
  </si>
  <si>
    <t>ACCEPT EDUCATION COLLABORATIVE</t>
  </si>
  <si>
    <t>NATICK</t>
  </si>
  <si>
    <t>ACTON, TOWN OF</t>
  </si>
  <si>
    <t>ACTON</t>
  </si>
  <si>
    <t>ACTON-BOXBOROUGH RSD</t>
  </si>
  <si>
    <t>ACUSHNET, TOWN OF</t>
  </si>
  <si>
    <t>ACUSHNET</t>
  </si>
  <si>
    <t>ADAMS, TOWN OF</t>
  </si>
  <si>
    <t>ADAMS</t>
  </si>
  <si>
    <t>AGAWAM, TOWN OF</t>
  </si>
  <si>
    <t>AGAWAM</t>
  </si>
  <si>
    <t>AMESBURY, CITY OF</t>
  </si>
  <si>
    <t>AMESBURY</t>
  </si>
  <si>
    <t>ANDOVER, TOWN OF</t>
  </si>
  <si>
    <t>ANDOVER</t>
  </si>
  <si>
    <t>ASHBURNHAM, TOWN OF</t>
  </si>
  <si>
    <t>ASHBURNHAM</t>
  </si>
  <si>
    <t>ASHBY, TOWN OF</t>
  </si>
  <si>
    <t>ASHBY</t>
  </si>
  <si>
    <t>ASHFIELD, TOWN OF</t>
  </si>
  <si>
    <t>ASHFIELD</t>
  </si>
  <si>
    <t>ASHLAND, TOWN OF</t>
  </si>
  <si>
    <t>ASHLAND</t>
  </si>
  <si>
    <t>ASSABET VALLEY RVSD</t>
  </si>
  <si>
    <t>MARLBOROUGH</t>
  </si>
  <si>
    <t>ATHOL, TOWN OF</t>
  </si>
  <si>
    <t>ATHOL</t>
  </si>
  <si>
    <t>AUBURN, TOWN OF</t>
  </si>
  <si>
    <t>AUBURN</t>
  </si>
  <si>
    <t>AVON, TOWN OF</t>
  </si>
  <si>
    <t>AVON</t>
  </si>
  <si>
    <t>AYER, TOWN OF</t>
  </si>
  <si>
    <t>AYER</t>
  </si>
  <si>
    <t>BARNSTABLE FIRE DISTRICT</t>
  </si>
  <si>
    <t>BARNSTABLE</t>
  </si>
  <si>
    <t>BARNSTABLE, TOWN OF</t>
  </si>
  <si>
    <t>BARRE, TOWN OF</t>
  </si>
  <si>
    <t>BARRE</t>
  </si>
  <si>
    <t>BECKET, TOWN OF</t>
  </si>
  <si>
    <t>BECKET</t>
  </si>
  <si>
    <t>BEDFORD, TOWN OF</t>
  </si>
  <si>
    <t>BEDFORD</t>
  </si>
  <si>
    <t>BELCHERTOWN, TOWN OF</t>
  </si>
  <si>
    <t>BELCHERTOWN</t>
  </si>
  <si>
    <t>BELLINGHAM, TOWN OF</t>
  </si>
  <si>
    <t>BELLINGHAM</t>
  </si>
  <si>
    <t>BELMONT, TOWN OF</t>
  </si>
  <si>
    <t>BELMONT</t>
  </si>
  <si>
    <t>BERLIN, TOWN OF</t>
  </si>
  <si>
    <t>BERLIN</t>
  </si>
  <si>
    <t>BERNARDSTON, TOWN OF</t>
  </si>
  <si>
    <t>BERNARDSTON</t>
  </si>
  <si>
    <t>BILLERICA, TOWN OF</t>
  </si>
  <si>
    <t>BILLERICA</t>
  </si>
  <si>
    <t>BLACKSTONE, TOWN OF</t>
  </si>
  <si>
    <t>BLACKSTONE</t>
  </si>
  <si>
    <t>BLANDFORD, TOWN OF</t>
  </si>
  <si>
    <t>BLANDFORD</t>
  </si>
  <si>
    <t>BOLTON, TOWN OF</t>
  </si>
  <si>
    <t>BOURNE WATER DISTRICT</t>
  </si>
  <si>
    <t>BOXBOROUGH, TOWN OF</t>
  </si>
  <si>
    <t>BOXBOROUGH</t>
  </si>
  <si>
    <t>BOXFORD, TOWN OF</t>
  </si>
  <si>
    <t>BOXFORD</t>
  </si>
  <si>
    <t>BOYLSTON WATER DISTRICT</t>
  </si>
  <si>
    <t>BOYLSTON</t>
  </si>
  <si>
    <t>BOYLSTON, TOWN OF</t>
  </si>
  <si>
    <t>BRIDGEWATER, TOWN OF</t>
  </si>
  <si>
    <t>BRIDGEWATER</t>
  </si>
  <si>
    <t>BRIDGEWATER-RAYNHAM RSD</t>
  </si>
  <si>
    <t>BRIMFIELD, TOWN OF</t>
  </si>
  <si>
    <t>BRIMFIELD</t>
  </si>
  <si>
    <t>BROOKFIELD, TOWN OF</t>
  </si>
  <si>
    <t>BROOKFIELD</t>
  </si>
  <si>
    <t>BUCKLAND, TOWN OF</t>
  </si>
  <si>
    <t>BUZZARDS BAY WATER DISTRICT</t>
  </si>
  <si>
    <t>CAMBRIDGE HEALTH ALLIANCE</t>
  </si>
  <si>
    <t>MALDEN</t>
  </si>
  <si>
    <t>CANTON, TOWN OF</t>
  </si>
  <si>
    <t>CANTON</t>
  </si>
  <si>
    <t>CARLISLE, TOWN OF</t>
  </si>
  <si>
    <t>CARLISLE</t>
  </si>
  <si>
    <t>CARVER, TOWN OF</t>
  </si>
  <si>
    <t>CARVER</t>
  </si>
  <si>
    <t>CHARLES RIVER POLLUTION CONTROL DISTRICT</t>
  </si>
  <si>
    <t>MEDWAY</t>
  </si>
  <si>
    <t>CHARLTON, TOWN OF</t>
  </si>
  <si>
    <t>CHARLTON</t>
  </si>
  <si>
    <t>CHATHAM, TOWN OF</t>
  </si>
  <si>
    <t>CHATHAM</t>
  </si>
  <si>
    <t>CHELMSFORD, TOWN OF</t>
  </si>
  <si>
    <t>CHELMSFORD</t>
  </si>
  <si>
    <t>CHELSEA, CITY OF</t>
  </si>
  <si>
    <t>CHELSEA</t>
  </si>
  <si>
    <t>CHERRY VALLEY &amp; ROCHDALE WATER DISTRICT</t>
  </si>
  <si>
    <t>CHERRY VALLEY SEWER DISTRICT</t>
  </si>
  <si>
    <t>LEICESTER</t>
  </si>
  <si>
    <t>CHESHIRE, TOWN OF</t>
  </si>
  <si>
    <t>CHESHIRE</t>
  </si>
  <si>
    <t>CHESTER, TOWN OF</t>
  </si>
  <si>
    <t>CHESTER</t>
  </si>
  <si>
    <t>CHESTERFIELD, TOWN OF</t>
  </si>
  <si>
    <t>CHESTERFIELD</t>
  </si>
  <si>
    <t>CHICOPEE, CITY OF</t>
  </si>
  <si>
    <t>CHICOPEE</t>
  </si>
  <si>
    <t>CHILMARK, TOWN OF</t>
  </si>
  <si>
    <t>CHILMARK</t>
  </si>
  <si>
    <t>CLINTON, TOWN OF</t>
  </si>
  <si>
    <t>CLINTON</t>
  </si>
  <si>
    <t>COHASSET, TOWN OF</t>
  </si>
  <si>
    <t>COHASSET</t>
  </si>
  <si>
    <t>COLRAIN, TOWN OF</t>
  </si>
  <si>
    <t>COLRAIN</t>
  </si>
  <si>
    <t>COMM FIRE DISTRICT</t>
  </si>
  <si>
    <t>CONWAY, TOWN OF</t>
  </si>
  <si>
    <t>CONWAY</t>
  </si>
  <si>
    <t>CREST COLLABORATIVE</t>
  </si>
  <si>
    <t>CUMMINGTON, TOWN OF</t>
  </si>
  <si>
    <t>CUMMINGTON</t>
  </si>
  <si>
    <t>DANVERS, TOWN OF</t>
  </si>
  <si>
    <t>DANVERS</t>
  </si>
  <si>
    <t>DARTMOUTH FIRE DISTRICT #3</t>
  </si>
  <si>
    <t>DARTMOUTH</t>
  </si>
  <si>
    <t>DEERFIELD, TOWN OF</t>
  </si>
  <si>
    <t>DENNIS, TOWN OF</t>
  </si>
  <si>
    <t>DIGHTON WATER DISTRICT</t>
  </si>
  <si>
    <t>DIGHTON, TOWN OF</t>
  </si>
  <si>
    <t>DIGHTON</t>
  </si>
  <si>
    <t>DOUGLAS, TOWN OF</t>
  </si>
  <si>
    <t>DOUGLAS</t>
  </si>
  <si>
    <t>DOVER, TOWN OF</t>
  </si>
  <si>
    <t>DOVER</t>
  </si>
  <si>
    <t>DRACUT, TOWN OF</t>
  </si>
  <si>
    <t>DRACUT</t>
  </si>
  <si>
    <t>DUDLEY, TOWN OF</t>
  </si>
  <si>
    <t>DUDLEY</t>
  </si>
  <si>
    <t>DUNSTABLE, TOWN OF</t>
  </si>
  <si>
    <t>DUNSTABLE</t>
  </si>
  <si>
    <t>DUXBURY, TOWN OF</t>
  </si>
  <si>
    <t>DUXBURY</t>
  </si>
  <si>
    <t>EAST BRIDGEWATER, TOWN OF</t>
  </si>
  <si>
    <t>EAST BROOKFIELD, TOWN OF</t>
  </si>
  <si>
    <t>EASTHAMPTON, CITY OF</t>
  </si>
  <si>
    <t>EASTHAMPTON</t>
  </si>
  <si>
    <t>EASTON, TOWN OF</t>
  </si>
  <si>
    <t>EDUCATION COOPERATIVE</t>
  </si>
  <si>
    <t>EGREMONT, TOWN OF</t>
  </si>
  <si>
    <t>ELDER SERVICES OF WORCESTER</t>
  </si>
  <si>
    <t>WORCESTER</t>
  </si>
  <si>
    <t>ERVING, TOWN OF</t>
  </si>
  <si>
    <t>ERVING</t>
  </si>
  <si>
    <t>ESSEX, TOWN OF</t>
  </si>
  <si>
    <t>ESSEX</t>
  </si>
  <si>
    <t>EVERETT, CITY OF</t>
  </si>
  <si>
    <t>EVERETT</t>
  </si>
  <si>
    <t>FAIRHAVEN, TOWN OF</t>
  </si>
  <si>
    <t>FAIRHAVEN</t>
  </si>
  <si>
    <t>FALL RIVER, CITY OF</t>
  </si>
  <si>
    <t>FALL RIVER</t>
  </si>
  <si>
    <t>FALMOUTH, TOWN OF</t>
  </si>
  <si>
    <t>FALMOUTH</t>
  </si>
  <si>
    <t>FIRST CONGREGATIONAL CHURCH OF RUTLAND</t>
  </si>
  <si>
    <t>RUTLAND</t>
  </si>
  <si>
    <t>FIRST CONGREGATIONAL CHURCH OF W BOYLSTON</t>
  </si>
  <si>
    <t>WEST BOYLSTON</t>
  </si>
  <si>
    <t>FIRST CONGREGATIONAL CHURCH OF WHITMAN</t>
  </si>
  <si>
    <t>WHITMAN</t>
  </si>
  <si>
    <t>FITCHBURG, CITY OF</t>
  </si>
  <si>
    <t>FITCHBURG</t>
  </si>
  <si>
    <t>FORBES LIBRARY</t>
  </si>
  <si>
    <t>NORTHAMPTON</t>
  </si>
  <si>
    <t>FOXBOROUGH, TOWN OF</t>
  </si>
  <si>
    <t>FOXBOROUGH</t>
  </si>
  <si>
    <t>FRAMINGHAM, CITY OF</t>
  </si>
  <si>
    <t>FRAMINGHAM</t>
  </si>
  <si>
    <t>FRANKLIN COUNTY TECHNICAL SCHOOL</t>
  </si>
  <si>
    <t>FRANKLIN, TOWN OF</t>
  </si>
  <si>
    <t>FRANKLIN</t>
  </si>
  <si>
    <t>FREETOWN, TOWN OF</t>
  </si>
  <si>
    <t>FRIENDS OF FORBES LIBRARY</t>
  </si>
  <si>
    <t>FRIENDS OF THE BOYDEN LIBRARY</t>
  </si>
  <si>
    <t>FRONTIER RSD</t>
  </si>
  <si>
    <t>GARDNER, CITY OF</t>
  </si>
  <si>
    <t>GARDNER</t>
  </si>
  <si>
    <t>GEORGETOWN, TOWN OF</t>
  </si>
  <si>
    <t>GEORGETOWN</t>
  </si>
  <si>
    <t>GILL, TOWN OF</t>
  </si>
  <si>
    <t>GILL</t>
  </si>
  <si>
    <t>GILL-MONTAGUE RSD</t>
  </si>
  <si>
    <t>GLOUCESTER, CITY OF</t>
  </si>
  <si>
    <t>GLOUCESTER</t>
  </si>
  <si>
    <t>GOSHEN, TOWN OF</t>
  </si>
  <si>
    <t>GOSHEN</t>
  </si>
  <si>
    <t>GRAFTON WATER DISTRICT</t>
  </si>
  <si>
    <t>GRAFTON</t>
  </si>
  <si>
    <t>GRAFTON, TOWN OF</t>
  </si>
  <si>
    <t>GREAT BARRINGTON, TOWN OF</t>
  </si>
  <si>
    <t>GREATER LAWRENCE RVTSD</t>
  </si>
  <si>
    <t>GREATER NEW BEDFORD REGIONAL REFUSE DISTRICT</t>
  </si>
  <si>
    <t>NEW BEDFORD</t>
  </si>
  <si>
    <t>GROTON, TOWN OF</t>
  </si>
  <si>
    <t>GROTON</t>
  </si>
  <si>
    <t>GROVELAND, TOWN OF</t>
  </si>
  <si>
    <t>GROVELAND</t>
  </si>
  <si>
    <t>HADLEY, TOWN OF</t>
  </si>
  <si>
    <t>HADLEY</t>
  </si>
  <si>
    <t>HALIFAX, TOWN OF</t>
  </si>
  <si>
    <t>HALIFAX</t>
  </si>
  <si>
    <t>HAMILTON, TOWN OF</t>
  </si>
  <si>
    <t>HAMILTON</t>
  </si>
  <si>
    <t>HAMILTON-WENHAM RSD</t>
  </si>
  <si>
    <t>WENHAM</t>
  </si>
  <si>
    <t>HANOVER, TOWN OF</t>
  </si>
  <si>
    <t>HANOVER</t>
  </si>
  <si>
    <t>HANSON, TOWN OF</t>
  </si>
  <si>
    <t>HANSON</t>
  </si>
  <si>
    <t>HARDWICK, TOWN OF</t>
  </si>
  <si>
    <t>HARVARD, TOWN OF</t>
  </si>
  <si>
    <t>HARVARD</t>
  </si>
  <si>
    <t>HATFIELD, TOWN OF</t>
  </si>
  <si>
    <t>HATFIELD</t>
  </si>
  <si>
    <t>HAVERHILL, CITY OF</t>
  </si>
  <si>
    <t>HAVERHILL</t>
  </si>
  <si>
    <t>HIGHLAND VALLEY ELDER SERVICES</t>
  </si>
  <si>
    <t>HILLCREST SEWER DISTRICT</t>
  </si>
  <si>
    <t>HOLBROOK, TOWN OF</t>
  </si>
  <si>
    <t>HOLBROOK</t>
  </si>
  <si>
    <t>HOLDEN, TOWN OF</t>
  </si>
  <si>
    <t>HOLDEN</t>
  </si>
  <si>
    <t>HOLLAND, TOWN OF</t>
  </si>
  <si>
    <t>HOLLAND</t>
  </si>
  <si>
    <t>HOLLISTON, TOWN OF</t>
  </si>
  <si>
    <t>HOLLISTON</t>
  </si>
  <si>
    <t>HOPEDALE, TOWN OF</t>
  </si>
  <si>
    <t>HOPEDALE</t>
  </si>
  <si>
    <t>HOPKINTON, TOWN OF</t>
  </si>
  <si>
    <t>HOPKINTON</t>
  </si>
  <si>
    <t>HUBBARDSTON, TOWN OF</t>
  </si>
  <si>
    <t>HUBBARDSTON</t>
  </si>
  <si>
    <t>HUDSON, TOWN OF</t>
  </si>
  <si>
    <t>HUDSON</t>
  </si>
  <si>
    <t>HYANNIS FIRE DISTRICT</t>
  </si>
  <si>
    <t>IPSWICH, TOWN OF</t>
  </si>
  <si>
    <t>IPSWICH</t>
  </si>
  <si>
    <t>LAKE BUEL PRESERVATION DISTRICT</t>
  </si>
  <si>
    <t>NEW MARLBOROUGH</t>
  </si>
  <si>
    <t>LANCASTER, TOWN OF</t>
  </si>
  <si>
    <t>LANCASTER</t>
  </si>
  <si>
    <t>LANESBOROUGH VILLAGE FIRE &amp; WATER DISTRICT</t>
  </si>
  <si>
    <t>LANESBOROUGH, TOWN OF</t>
  </si>
  <si>
    <t>LANESBOROUGH</t>
  </si>
  <si>
    <t>LANGLEY-ADAMS PUBLIC LIBRARY</t>
  </si>
  <si>
    <t>LEE, TOWN OF</t>
  </si>
  <si>
    <t>LEE</t>
  </si>
  <si>
    <t>LEICESTER PUBLIC LIBRARY BOARD OF TRUSTEES</t>
  </si>
  <si>
    <t>LEICESTER WATER SUPPLY DISTRICT</t>
  </si>
  <si>
    <t>LEICESTER, TOWN OF</t>
  </si>
  <si>
    <t>LENOX, TOWN OF</t>
  </si>
  <si>
    <t>LENOX</t>
  </si>
  <si>
    <t>LEOMINSTER, CITY OF</t>
  </si>
  <si>
    <t>LEOMINSTER</t>
  </si>
  <si>
    <t>LEVERETT, TOWN OF</t>
  </si>
  <si>
    <t>LEVERETT</t>
  </si>
  <si>
    <t>LEXINGTON, TOWN OF</t>
  </si>
  <si>
    <t>LEXINGTON</t>
  </si>
  <si>
    <t>LINCOLN, TOWN OF</t>
  </si>
  <si>
    <t>LINCOLN</t>
  </si>
  <si>
    <t>LITTLETON SCHOLARSHIP TRUST</t>
  </si>
  <si>
    <t>LITTLETON</t>
  </si>
  <si>
    <t>LITTLETON, TOWN OF</t>
  </si>
  <si>
    <t>LOWELL, CITY OF</t>
  </si>
  <si>
    <t>LOWELL</t>
  </si>
  <si>
    <t>LUDLOW, TOWN OF</t>
  </si>
  <si>
    <t>LUDLOW</t>
  </si>
  <si>
    <t>LUNENBURG, TOWN OF</t>
  </si>
  <si>
    <t>LUNENBURG</t>
  </si>
  <si>
    <t>LYNNFIELD CENTER WATER DISTRICT</t>
  </si>
  <si>
    <t>LYNNFIELD</t>
  </si>
  <si>
    <t>LYNNFIELD, TOWN OF</t>
  </si>
  <si>
    <t>MANCHESTER-BY-THE-SEA, TOWN OF</t>
  </si>
  <si>
    <t>MANCHESTER</t>
  </si>
  <si>
    <t>MANSFIELD, TOWN OF</t>
  </si>
  <si>
    <t>MANSFIELD</t>
  </si>
  <si>
    <t>MARBLEHEAD, TOWN OF</t>
  </si>
  <si>
    <t>MARBLEHEAD</t>
  </si>
  <si>
    <t>MARION, TOWN OF</t>
  </si>
  <si>
    <t>MARION</t>
  </si>
  <si>
    <t>MARLBOROUGH, CITY OF</t>
  </si>
  <si>
    <t>MARSHFIELD, TOWN OF</t>
  </si>
  <si>
    <t>MARSHFIELD</t>
  </si>
  <si>
    <t>MASSACHUSETTS ASSOCIATION OF ASSESSING OFFICERS</t>
  </si>
  <si>
    <t>NORTHBOROUGH</t>
  </si>
  <si>
    <t>MASSACHUSETTS MUNICIPAL UTILITY SELF-INSURANCE TF</t>
  </si>
  <si>
    <t>HULL</t>
  </si>
  <si>
    <t>MATTAPOISETT, TOWN OF</t>
  </si>
  <si>
    <t>MATTAPOISETT</t>
  </si>
  <si>
    <t>MAYNARD, TOWN OF</t>
  </si>
  <si>
    <t>MAYNARD</t>
  </si>
  <si>
    <t>MEDFIELD, TOWN OF</t>
  </si>
  <si>
    <t>MEDFIELD</t>
  </si>
  <si>
    <t>MELROSE, CITY OF</t>
  </si>
  <si>
    <t>MELROSE</t>
  </si>
  <si>
    <t>MENDON, TOWN OF</t>
  </si>
  <si>
    <t>MENDON</t>
  </si>
  <si>
    <t>MERRIMAC, TOWN OF</t>
  </si>
  <si>
    <t>MERRIMAC</t>
  </si>
  <si>
    <t>METACOMET EMERGENCY COMMUNICATIONS CENTER</t>
  </si>
  <si>
    <t>NORFOLK</t>
  </si>
  <si>
    <t>METHUEN, CITY OF</t>
  </si>
  <si>
    <t>METHUEN</t>
  </si>
  <si>
    <t>MIDDLEBOROUGH, TOWN OF</t>
  </si>
  <si>
    <t>MIDDLETON, TOWN OF</t>
  </si>
  <si>
    <t>MIDDLETON</t>
  </si>
  <si>
    <t>MILFORD, TOWN OF</t>
  </si>
  <si>
    <t>MILFORD</t>
  </si>
  <si>
    <t>MILLBURY, TOWN OF</t>
  </si>
  <si>
    <t>MILLBURY</t>
  </si>
  <si>
    <t>MILLIS, TOWN OF</t>
  </si>
  <si>
    <t>MILLIS</t>
  </si>
  <si>
    <t>MILLVILLE, TOWN OF</t>
  </si>
  <si>
    <t>MILLVILLE</t>
  </si>
  <si>
    <t>MILTON PUBLIC LIBRARY</t>
  </si>
  <si>
    <t>MILTON</t>
  </si>
  <si>
    <t>MILTON PUBLIC LIBRARY FOUNDATION</t>
  </si>
  <si>
    <t>MOHAWK TRAIL RSD</t>
  </si>
  <si>
    <t>MONSON, TOWN OF</t>
  </si>
  <si>
    <t>MONSON</t>
  </si>
  <si>
    <t>MONTAGUE, TOWN OF</t>
  </si>
  <si>
    <t>NARRAGANSETT RSD</t>
  </si>
  <si>
    <t>NASHOBA ASSOCIATED BOARDS OF HEALTH</t>
  </si>
  <si>
    <t>NASHOBA RSD</t>
  </si>
  <si>
    <t>BOLTON</t>
  </si>
  <si>
    <t>NASHOBA VALLEY THS</t>
  </si>
  <si>
    <t>WESTFORD</t>
  </si>
  <si>
    <t>NATICK, TOWN OF</t>
  </si>
  <si>
    <t>NEEDHAM, TOWN OF</t>
  </si>
  <si>
    <t>NEEDHAM</t>
  </si>
  <si>
    <t>NEW BEDFORD, CITY OF</t>
  </si>
  <si>
    <t>NEW SALEM, TOWN OF</t>
  </si>
  <si>
    <t>NEW SALEM</t>
  </si>
  <si>
    <t>NEWBURY, TOWN OF</t>
  </si>
  <si>
    <t>NEWBURYPORT, CITY OF</t>
  </si>
  <si>
    <t>NEWBURYPORT</t>
  </si>
  <si>
    <t>NORTH ADAMS, CITY OF</t>
  </si>
  <si>
    <t>NORTH ADAMS</t>
  </si>
  <si>
    <t>NORTH ANDOVER, TOWN OF</t>
  </si>
  <si>
    <t>NORTH ANDOVER</t>
  </si>
  <si>
    <t>NORTH ATTLEBOROUGH, TOWN OF</t>
  </si>
  <si>
    <t>NORTH CHELMSFORD WATER DISTRICT</t>
  </si>
  <si>
    <t>NORTH MIDDLESEX RSD</t>
  </si>
  <si>
    <t>TOWNSEND</t>
  </si>
  <si>
    <t>NORTH READING, TOWN OF</t>
  </si>
  <si>
    <t>NORTH READING</t>
  </si>
  <si>
    <t>NORTH SAGAMORE WATER DISTRICT</t>
  </si>
  <si>
    <t>NORTHAMPTON, CITY OF</t>
  </si>
  <si>
    <t>NORTHBOROUGH, TOWN OF</t>
  </si>
  <si>
    <t>NORTHBRIDGE, TOWN OF</t>
  </si>
  <si>
    <t>NORTHFIELD, TOWN OF</t>
  </si>
  <si>
    <t>NORTHFIELD</t>
  </si>
  <si>
    <t>NORTON, TOWN OF</t>
  </si>
  <si>
    <t>NORTON</t>
  </si>
  <si>
    <t>NORWOOD, TOWN OF</t>
  </si>
  <si>
    <t>NORWOOD</t>
  </si>
  <si>
    <t>OAK BLUFFS, TOWN OF</t>
  </si>
  <si>
    <t>OAK BLUFFS</t>
  </si>
  <si>
    <t>OAKHAM, TOWN OF</t>
  </si>
  <si>
    <t>OAKHAM</t>
  </si>
  <si>
    <t>ONSET FIRE DISTRICT</t>
  </si>
  <si>
    <t>ORANGE, TOWN OF</t>
  </si>
  <si>
    <t>ORANGE</t>
  </si>
  <si>
    <t>ORLEANS, TOWN OF</t>
  </si>
  <si>
    <t>ORLEANS</t>
  </si>
  <si>
    <t>OTIS, TOWN OF</t>
  </si>
  <si>
    <t>OTIS</t>
  </si>
  <si>
    <t>OXFORD, TOWN OF</t>
  </si>
  <si>
    <t>OXFORD</t>
  </si>
  <si>
    <t>OXFORD-ROCHDALE SEWER DISTRICT</t>
  </si>
  <si>
    <t>PALMER, TOWN OF</t>
  </si>
  <si>
    <t>PALMER</t>
  </si>
  <si>
    <t>PAXTON, TOWN OF</t>
  </si>
  <si>
    <t>PAXTON</t>
  </si>
  <si>
    <t>PELHAM, TOWN OF</t>
  </si>
  <si>
    <t>PELHAM</t>
  </si>
  <si>
    <t>PEMBROKE, TOWN OF</t>
  </si>
  <si>
    <t>PEMBROKE</t>
  </si>
  <si>
    <t>PEPPERELL, TOWN OF</t>
  </si>
  <si>
    <t>PEPPERELL</t>
  </si>
  <si>
    <t>PETERSHAM, TOWN OF</t>
  </si>
  <si>
    <t>PETERSHAM</t>
  </si>
  <si>
    <t>PHILLIPSTON, TOWN OF</t>
  </si>
  <si>
    <t>PHILLIPSTON</t>
  </si>
  <si>
    <t>PITTSFIELD, CITY OF</t>
  </si>
  <si>
    <t>PITTSFIELD</t>
  </si>
  <si>
    <t>PLAINVILLE, TOWN OF</t>
  </si>
  <si>
    <t>PLAINVILLE</t>
  </si>
  <si>
    <t>PLYMPTON, TOWN OF</t>
  </si>
  <si>
    <t>PLYMPTON</t>
  </si>
  <si>
    <t>PRESERVATION WORCESTER</t>
  </si>
  <si>
    <t>PRINCETON, TOWN OF</t>
  </si>
  <si>
    <t>PRINCETON</t>
  </si>
  <si>
    <t>PROVINCETOWN, TOWN OF</t>
  </si>
  <si>
    <t>PROVINCETOWN</t>
  </si>
  <si>
    <t>QUINCY COLLEGE</t>
  </si>
  <si>
    <t>QUINCY</t>
  </si>
  <si>
    <t>QUINCY, CITY OF</t>
  </si>
  <si>
    <t>RALPH C. MAHAR RSD</t>
  </si>
  <si>
    <t>RANDOLPH, TOWN OF</t>
  </si>
  <si>
    <t>RANDOLPH</t>
  </si>
  <si>
    <t>RAYNHAM, TOWN OF</t>
  </si>
  <si>
    <t>RAYNHAM</t>
  </si>
  <si>
    <t>REHOBOTH, TOWN OF</t>
  </si>
  <si>
    <t>REHOBOTH</t>
  </si>
  <si>
    <t>REVERE, CITY OF</t>
  </si>
  <si>
    <t>REVERE</t>
  </si>
  <si>
    <t>RICHMOND, TOWN OF</t>
  </si>
  <si>
    <t>ROCHESTER, TOWN OF</t>
  </si>
  <si>
    <t>ROCHESTER</t>
  </si>
  <si>
    <t>ROCKPORT, TOWN OF</t>
  </si>
  <si>
    <t>ROCKPORT</t>
  </si>
  <si>
    <t>ROWE, TOWN OF</t>
  </si>
  <si>
    <t>ROWE</t>
  </si>
  <si>
    <t>ROWLEY, TOWN OF</t>
  </si>
  <si>
    <t>ROWLEY</t>
  </si>
  <si>
    <t>RUFUS PUTNAM</t>
  </si>
  <si>
    <t>RUTLAND, TOWN OF</t>
  </si>
  <si>
    <t>SALEM, CITY OF</t>
  </si>
  <si>
    <t>SALEM</t>
  </si>
  <si>
    <t>SALEM, TOWN OF, NH</t>
  </si>
  <si>
    <t>SALISBURY, TOWN OF</t>
  </si>
  <si>
    <t>SALISBURY</t>
  </si>
  <si>
    <t>SANDWICH, TOWN OF</t>
  </si>
  <si>
    <t>SANDWICH</t>
  </si>
  <si>
    <t>SAUGUS, TOWN OF</t>
  </si>
  <si>
    <t>SEEKONK WATER DISTRICT</t>
  </si>
  <si>
    <t>SEEKONK</t>
  </si>
  <si>
    <t>SEEKONK, TOWN OF</t>
  </si>
  <si>
    <t>SHARON, TOWN OF</t>
  </si>
  <si>
    <t>SHARON</t>
  </si>
  <si>
    <t>SHELBURNE, TOWN OF</t>
  </si>
  <si>
    <t>SHERBORN, TOWN OF</t>
  </si>
  <si>
    <t>SHERBORN</t>
  </si>
  <si>
    <t>SHIRLEY, TOWN OF</t>
  </si>
  <si>
    <t>SHIRLEY</t>
  </si>
  <si>
    <t>SHREWSBURY, TOWN OF</t>
  </si>
  <si>
    <t>SHREWSBURY</t>
  </si>
  <si>
    <t>SHUTESBURY, TOWN OF</t>
  </si>
  <si>
    <t>SHUTESBURY</t>
  </si>
  <si>
    <t>SILVER LAKE RSD</t>
  </si>
  <si>
    <t>KINGSTON</t>
  </si>
  <si>
    <t>SOMERSET HEALTH PLAN GROUP</t>
  </si>
  <si>
    <t>SOMERSET</t>
  </si>
  <si>
    <t>SOMERSET, TOWN OF</t>
  </si>
  <si>
    <t>SOUTH DEERFIELD FIRE DISTRICT</t>
  </si>
  <si>
    <t>SOUTH GRAFTON WATER DISTRICT</t>
  </si>
  <si>
    <t>SOUTH HADLEY FIRE DISTRICT #1</t>
  </si>
  <si>
    <t>SOUTH HADLEY</t>
  </si>
  <si>
    <t>SOUTH HADLEY, TOWN OF</t>
  </si>
  <si>
    <t>SOUTH MIDDLESEX RVTSD</t>
  </si>
  <si>
    <t>SOUTHAMPTON, TOWN OF</t>
  </si>
  <si>
    <t>SOUTHAMPTON</t>
  </si>
  <si>
    <t>SOUTHBOROUGH, TOWN OF</t>
  </si>
  <si>
    <t>SOUTHBOROUGH</t>
  </si>
  <si>
    <t>SOUTHBRIDGE, TOWN OF</t>
  </si>
  <si>
    <t>SOUTHBRIDGE</t>
  </si>
  <si>
    <t>SOUTHEASTERN MASS HEALTH GROUP</t>
  </si>
  <si>
    <t>SOUTHERN WORCESTER COUNTY ED. COLLABORATIVE</t>
  </si>
  <si>
    <t>SOUTHWICK, TOWN OF</t>
  </si>
  <si>
    <t>SOUTHWICK</t>
  </si>
  <si>
    <t>SPENCER, TOWN OF</t>
  </si>
  <si>
    <t>SPENCER</t>
  </si>
  <si>
    <t>SPRINGFIELD WATER AND SEWER COMMISSION</t>
  </si>
  <si>
    <t>STERLING, TOWN OF</t>
  </si>
  <si>
    <t>STERLING</t>
  </si>
  <si>
    <t>STOCKBRIDGE, TOWN OF</t>
  </si>
  <si>
    <t>STOCKBRIDGE</t>
  </si>
  <si>
    <t>STONEHAM, TOWN OF</t>
  </si>
  <si>
    <t>STONEHAM</t>
  </si>
  <si>
    <t>STOUGHTON REDEVELOPMENT AUTHORITY</t>
  </si>
  <si>
    <t>STOUGHTON</t>
  </si>
  <si>
    <t>STOUGHTON, TOWN OF</t>
  </si>
  <si>
    <t>STOW, TOWN OF</t>
  </si>
  <si>
    <t>STOW</t>
  </si>
  <si>
    <t>STOW, TOWN OF HALE HIGH SCHOOL</t>
  </si>
  <si>
    <t>STOW, TOWN OF RANDALL MEMORIAL LIBRARY</t>
  </si>
  <si>
    <t>STURBRIDGE, TOWN OF</t>
  </si>
  <si>
    <t>STURBRIDGE</t>
  </si>
  <si>
    <t>SUDBURY WATER DISTRICT</t>
  </si>
  <si>
    <t>SUDBURY</t>
  </si>
  <si>
    <t>SUDBURY, TOWN OF</t>
  </si>
  <si>
    <t>SUNDERLAND, TOWN OF</t>
  </si>
  <si>
    <t>SUNDERLAND</t>
  </si>
  <si>
    <t>SUTTON, TOWN OF</t>
  </si>
  <si>
    <t>SUTTON</t>
  </si>
  <si>
    <t>SWANSEA, TOWN OF</t>
  </si>
  <si>
    <t>SWANSEA</t>
  </si>
  <si>
    <t>TAUNTON, CITY OF</t>
  </si>
  <si>
    <t>TAUNTON</t>
  </si>
  <si>
    <t>TEMPLETON, TOWN OF</t>
  </si>
  <si>
    <t>TISBURY, TOWN OF</t>
  </si>
  <si>
    <t>TOPSFIELD, TOWN OF</t>
  </si>
  <si>
    <t>TOPSFIELD</t>
  </si>
  <si>
    <t>TOWNSEND, TOWN OF</t>
  </si>
  <si>
    <t>TRINITY LUTHERAN CHURCH</t>
  </si>
  <si>
    <t>TRITON RSD</t>
  </si>
  <si>
    <t>TYNGSBOROUGH, TOWN OF</t>
  </si>
  <si>
    <t>UNITED CHURCH OF CHRIST FEDERATED</t>
  </si>
  <si>
    <t>WEBSTER</t>
  </si>
  <si>
    <t>UNITED CHURCH OF CHRIST FEDERATED FIRST</t>
  </si>
  <si>
    <t>UNITED CONGREGATIONAL CHURCH IN MILTON INV.</t>
  </si>
  <si>
    <t>UPTON, TOWN OF</t>
  </si>
  <si>
    <t>UPTON</t>
  </si>
  <si>
    <t>UXBRIDGE, TOWN OF</t>
  </si>
  <si>
    <t>UXBRIDGE</t>
  </si>
  <si>
    <t>WACHUSETT RSD</t>
  </si>
  <si>
    <t>WALES, TOWN OF</t>
  </si>
  <si>
    <t>WALES</t>
  </si>
  <si>
    <t>WALPOLE, TOWN OF</t>
  </si>
  <si>
    <t>WALPOLE</t>
  </si>
  <si>
    <t>WARE, TOWN OF</t>
  </si>
  <si>
    <t>WARE</t>
  </si>
  <si>
    <t>WARREN, TOWN OF</t>
  </si>
  <si>
    <t>WARREN</t>
  </si>
  <si>
    <t>WARWICK, TOWN OF</t>
  </si>
  <si>
    <t>WARWICK</t>
  </si>
  <si>
    <t>WAYLAND, TOWN OF</t>
  </si>
  <si>
    <t>WAYLAND</t>
  </si>
  <si>
    <t>WEBSTER, TOWN OF</t>
  </si>
  <si>
    <t>WENHAM, TOWN OF</t>
  </si>
  <si>
    <t>WEST BOYLSTON WATER DISTRICT</t>
  </si>
  <si>
    <t>WEST BOYLSTON, TOWN OF</t>
  </si>
  <si>
    <t>WEST BRIDGEWATER, TOWN OF</t>
  </si>
  <si>
    <t>WEST BRIDGEWATER</t>
  </si>
  <si>
    <t>WEST BROOKFIELD, TOWN OF</t>
  </si>
  <si>
    <t>WEST STOCKBRIDGE, TOWN OF</t>
  </si>
  <si>
    <t>WESTFORD, TOWN OF</t>
  </si>
  <si>
    <t>WESTHAMPTON, TOWN OF</t>
  </si>
  <si>
    <t>WESTHAMPTON</t>
  </si>
  <si>
    <t>WESTMINSTER, TOWN OF</t>
  </si>
  <si>
    <t>WESTMINSTER</t>
  </si>
  <si>
    <t>WESTON, TOWN OF</t>
  </si>
  <si>
    <t>WESTON</t>
  </si>
  <si>
    <t>WESTPORT, TOWN OF</t>
  </si>
  <si>
    <t>WESTPORT</t>
  </si>
  <si>
    <t>WESTWOOD, TOWN OF</t>
  </si>
  <si>
    <t>WESTWOOD</t>
  </si>
  <si>
    <t>WHATELY, TOWN OF</t>
  </si>
  <si>
    <t>WHITMAN, TOWN OF</t>
  </si>
  <si>
    <t>WHITMAN-HANSON RSD</t>
  </si>
  <si>
    <t>WHITTIER RVTHS</t>
  </si>
  <si>
    <t>WHITTIER TECHNICAL EDUCATION FOUNDATION</t>
  </si>
  <si>
    <t>WILBRAHAM, TOWN OF</t>
  </si>
  <si>
    <t>WILBRAHAM</t>
  </si>
  <si>
    <t>WILLIAMSTOWN, TOWN OF</t>
  </si>
  <si>
    <t>WILLIAMSTOWN</t>
  </si>
  <si>
    <t>WILMINGTON, TOWN OF</t>
  </si>
  <si>
    <t>WILMINGTON</t>
  </si>
  <si>
    <t>WINCHENDON, TOWN OF</t>
  </si>
  <si>
    <t>WINCHENDON</t>
  </si>
  <si>
    <t>WINDSOR, TOWN OF</t>
  </si>
  <si>
    <t>WINDSOR</t>
  </si>
  <si>
    <t>WOBURN, CITY OF</t>
  </si>
  <si>
    <t>WOBURN</t>
  </si>
  <si>
    <t>WORCESTER CENTER FOR PERFORMING ARTS INC</t>
  </si>
  <si>
    <t>WORCESTER REGIONAL STRATEGIC OPP FOUNDATION</t>
  </si>
  <si>
    <t>WORCESTER, CITY OF</t>
  </si>
  <si>
    <t>WRENTHAM, TOWN OF</t>
  </si>
  <si>
    <t>WRENTHAM</t>
  </si>
  <si>
    <t>EAST BRIDGEWATER</t>
  </si>
  <si>
    <t>EAST  BROOKFIELD</t>
  </si>
  <si>
    <t>DEERFIELD</t>
  </si>
  <si>
    <t>EGREMONT</t>
  </si>
  <si>
    <t>GREAT BARRINGTON</t>
  </si>
  <si>
    <t>NORTH ATTLEBOROUGH</t>
  </si>
  <si>
    <t>TEMPLETON</t>
  </si>
  <si>
    <t>TISBURY</t>
  </si>
  <si>
    <t>TYNGSBOROUGH</t>
  </si>
  <si>
    <t>WEST BROOKFIELD</t>
  </si>
  <si>
    <t>WEST STOCKBRIDGE</t>
  </si>
  <si>
    <t>WHATELY</t>
  </si>
  <si>
    <t>Manchester</t>
  </si>
  <si>
    <t>WALPOLE, CITY OF</t>
  </si>
  <si>
    <t>CLIENT NAME 1</t>
  </si>
  <si>
    <t>CLIENT NAME 2</t>
  </si>
  <si>
    <t>CLIENT NAME 3</t>
  </si>
  <si>
    <t>CLIENT NAME 4</t>
  </si>
  <si>
    <t>CLIENT NAME 5</t>
  </si>
  <si>
    <t>CLIENT NAME 6</t>
  </si>
  <si>
    <t>CLIENT NAME 7</t>
  </si>
  <si>
    <t>HARDWICK</t>
  </si>
  <si>
    <t>Prospect</t>
  </si>
  <si>
    <t>MONTAGUE</t>
  </si>
  <si>
    <t>Region</t>
  </si>
  <si>
    <t>Last Review</t>
  </si>
  <si>
    <t>Special Notes</t>
  </si>
  <si>
    <t>Copy/Material Count</t>
  </si>
  <si>
    <t>FREETOWN</t>
  </si>
  <si>
    <t>BOURNE</t>
  </si>
  <si>
    <t>NEWBURY</t>
  </si>
  <si>
    <t>NORTHBRIDGE</t>
  </si>
  <si>
    <t>BUCKLAND</t>
  </si>
  <si>
    <t>SHELBURNE</t>
  </si>
  <si>
    <t>DENNIS</t>
  </si>
  <si>
    <t>EASTON</t>
  </si>
  <si>
    <t>WAREHAM</t>
  </si>
  <si>
    <t>MIDDLEBOROUGH</t>
  </si>
  <si>
    <t>Client Count</t>
  </si>
  <si>
    <t>Community</t>
  </si>
  <si>
    <t>Maybe include Mayor at next review*</t>
  </si>
  <si>
    <t>Meet with Trust Comm once year</t>
  </si>
  <si>
    <t>For annual review invite committee**</t>
  </si>
  <si>
    <t>Annual review with committee</t>
  </si>
  <si>
    <t>Annual March School Committee/Neilman Scholarship</t>
  </si>
  <si>
    <t>Wed &amp; Thurs Hours only 9-4pm</t>
  </si>
  <si>
    <t>Available Fridays only 8:00am-4:00pm Drop ins okay</t>
  </si>
  <si>
    <t>one click send</t>
  </si>
  <si>
    <t>Annual</t>
  </si>
  <si>
    <t>OPEB Advisory Board Annual Review</t>
  </si>
  <si>
    <t>If have new FD then have Kathleen go</t>
  </si>
  <si>
    <t>For annual review likes hard copies</t>
  </si>
  <si>
    <t>ONLY MEET ONCE YEAR*</t>
  </si>
  <si>
    <t>Trust funds only/OPEB trustees separate meeting</t>
  </si>
  <si>
    <t>Meet Annual with Board Chair Nick &amp; Brian Treasurer</t>
  </si>
  <si>
    <t>Morgan new treasurer/Maureen Chair</t>
  </si>
  <si>
    <t>3 regular 14 for entire committee/sent perf report</t>
  </si>
  <si>
    <t>Annual Meeting Only January</t>
  </si>
  <si>
    <t>Email review to Treas &amp; Acctant prior to meeting</t>
  </si>
  <si>
    <t>Sent performance report</t>
  </si>
  <si>
    <t>Kathleen/Alex when trust cttee meets</t>
  </si>
  <si>
    <t>Fall Meeting Review Only</t>
  </si>
  <si>
    <t>2 people needed if Dan is in the meeting</t>
  </si>
  <si>
    <t>Trust Funds at Unibank</t>
  </si>
  <si>
    <t>Talk to him about PE, he said yes</t>
  </si>
  <si>
    <t>New Account Update Brian Aug 23</t>
  </si>
  <si>
    <t>December annual review only</t>
  </si>
  <si>
    <t>NEW TREASURER</t>
  </si>
  <si>
    <t>Lunch and review with Krystal</t>
  </si>
  <si>
    <t>Sent annual, too busy to meet</t>
  </si>
  <si>
    <t>Coordinate with Will Adamczyk</t>
  </si>
  <si>
    <t>Annual May OPEB Board Meeting Only</t>
  </si>
  <si>
    <t>no treasurer yet</t>
  </si>
  <si>
    <t>Never responded</t>
  </si>
  <si>
    <t>New treasurer</t>
  </si>
  <si>
    <t>Not run on fiscal year/have annual meeting end of Dec or early Jan each year</t>
  </si>
  <si>
    <t>Luddington Trust w/school committee</t>
  </si>
  <si>
    <t>Annual review February 2021</t>
  </si>
  <si>
    <t>One click send</t>
  </si>
  <si>
    <t>OPEB Presentation</t>
  </si>
  <si>
    <t>$8 million stab funds at bank/MMDT?</t>
  </si>
  <si>
    <t>Most Likely Annual</t>
  </si>
  <si>
    <t>Paula never returned emails. I just dropped off review</t>
  </si>
  <si>
    <t>treasurer alone/committee 3-4x yr</t>
  </si>
  <si>
    <t>committee</t>
  </si>
  <si>
    <t>I sent one click w/comments at her request</t>
  </si>
  <si>
    <t>Opportunity Stab Eastern</t>
  </si>
  <si>
    <t>10 CY-3 FY</t>
  </si>
  <si>
    <t>12?</t>
  </si>
  <si>
    <t>8? OPEB</t>
  </si>
  <si>
    <t>CY9</t>
  </si>
  <si>
    <t>PRINCETON TRUSTEES</t>
  </si>
  <si>
    <t>HUDSON LIGHT DEPT</t>
  </si>
  <si>
    <t>MARLBOROUGH OPEB</t>
  </si>
  <si>
    <t>UXBRIDGE SELECTBOARD</t>
  </si>
  <si>
    <t>WORCESTER TRUST</t>
  </si>
  <si>
    <t>WORCESTER LIBRARY</t>
  </si>
  <si>
    <t>LINCOLN TRUST COMMITTEE</t>
  </si>
  <si>
    <t>CHATHAM OPEB COMMITTEE</t>
  </si>
  <si>
    <t># of clients</t>
  </si>
  <si>
    <t>Region:</t>
  </si>
  <si>
    <t>Advisor:</t>
  </si>
  <si>
    <t>Sue</t>
  </si>
  <si>
    <t>sue</t>
  </si>
  <si>
    <t>Michelle</t>
  </si>
  <si>
    <t>Brian</t>
  </si>
  <si>
    <t>Kath</t>
  </si>
  <si>
    <t>B,M,K</t>
  </si>
  <si>
    <t>https://datawrapper.dwcdn.net/TvOY0/6/</t>
  </si>
  <si>
    <t>-</t>
  </si>
  <si>
    <t>Advisor Number/Kathleen?</t>
  </si>
  <si>
    <t>Kathleen</t>
  </si>
  <si>
    <t>2 advisors</t>
  </si>
  <si>
    <t>2 advisors?</t>
  </si>
  <si>
    <t>NEW review date</t>
  </si>
  <si>
    <t>Done?</t>
  </si>
  <si>
    <t>New Review Date</t>
  </si>
  <si>
    <t>Initials</t>
  </si>
  <si>
    <t>Meeting with Eric &amp; Jim once a year only</t>
  </si>
  <si>
    <t>BECKET BROADBAND DISTRICT</t>
  </si>
  <si>
    <t>Always offer to do lunch</t>
  </si>
  <si>
    <t>1x yr w/Prudential Committee or Molly and Carlton alone</t>
  </si>
  <si>
    <t>1x year OPEB ctte, 2x yr w/Sharon alone</t>
  </si>
  <si>
    <t>Paula is retiring</t>
  </si>
  <si>
    <t>Will contact us for spring review</t>
  </si>
  <si>
    <t>4/8/26 ZOOM</t>
  </si>
  <si>
    <t>Virtual</t>
  </si>
  <si>
    <t>Located in Dudley-Meet once a yr. with Mike (Treasurer) and Lena (FD) Board?</t>
  </si>
  <si>
    <t>Allan K also in Goshen</t>
  </si>
  <si>
    <t>Sara H (Blandford, Chester, Monterey)</t>
  </si>
  <si>
    <t>Sue can't do this one (conflict of interest)</t>
  </si>
  <si>
    <t>lunch</t>
  </si>
  <si>
    <t>Ryan (Westhampton, Barre</t>
  </si>
  <si>
    <t>3/19/2026 @ 10:00</t>
  </si>
  <si>
    <t>3/17/26 @ 1:30</t>
  </si>
  <si>
    <t xml:space="preserve">Meet with the Library BD with Treasurer Prudent Acct. 6 copies </t>
  </si>
  <si>
    <t xml:space="preserve"> </t>
  </si>
  <si>
    <t>3/18/2026 @ 2:00</t>
  </si>
  <si>
    <t>3/20/26 @ 11:00 lunch</t>
  </si>
  <si>
    <t>3/25 @ 9am</t>
  </si>
  <si>
    <t>3/31 @ 10am</t>
  </si>
  <si>
    <t>3/31 @ 11:30am</t>
  </si>
  <si>
    <t>3/31 @ 1pm</t>
  </si>
  <si>
    <t>4/1 @ 11:30am</t>
  </si>
  <si>
    <t>4/14 @ 10am</t>
  </si>
  <si>
    <t>4/1 @ 10am</t>
  </si>
  <si>
    <t>4/1 @ 3pm</t>
  </si>
  <si>
    <t>Annual December/January  Meeting</t>
  </si>
  <si>
    <t xml:space="preserve">June </t>
  </si>
  <si>
    <t>4/21 @10am</t>
  </si>
  <si>
    <t>4/21 @ 10am</t>
  </si>
  <si>
    <t>New Treasurer to reach out</t>
  </si>
  <si>
    <t>4/28 @9:30am</t>
  </si>
  <si>
    <t xml:space="preserve">Kathleen </t>
  </si>
  <si>
    <t>4/29 @ 1pm</t>
  </si>
  <si>
    <t>4/21 @ 9am</t>
  </si>
  <si>
    <t>4/21 @ 12pm</t>
  </si>
  <si>
    <t xml:space="preserve">book next meeting with Brian &amp; Kathleen </t>
  </si>
  <si>
    <t xml:space="preserve">Virtual Meeting Scheduled </t>
  </si>
  <si>
    <t>4/29 @ 11am</t>
  </si>
  <si>
    <t>4/23 @11:30</t>
  </si>
  <si>
    <t>4/21@ 10:30am</t>
  </si>
  <si>
    <t>4/16 @2pm</t>
  </si>
  <si>
    <t>4/27 @ 1:30pm</t>
  </si>
  <si>
    <t>BMK</t>
  </si>
  <si>
    <t>Done</t>
  </si>
  <si>
    <t xml:space="preserve">% Done </t>
  </si>
  <si>
    <t>TOTAL</t>
  </si>
  <si>
    <t>4/27 @ 10:30</t>
  </si>
  <si>
    <t>4/28 @ 9:30</t>
  </si>
  <si>
    <t>4/14 @1:30</t>
  </si>
  <si>
    <t>3/26 @ 11:30</t>
  </si>
  <si>
    <t>4/30 @ 9am</t>
  </si>
  <si>
    <t>4/16 @ 9am</t>
  </si>
  <si>
    <t>tent 3/24</t>
  </si>
  <si>
    <t>tent 3/26</t>
  </si>
  <si>
    <t>4/27 @ 9am</t>
  </si>
  <si>
    <t>3/25/26 @ 3:00</t>
  </si>
  <si>
    <t>dropped off report 3/23</t>
  </si>
  <si>
    <t>4/16 @ 10:30</t>
  </si>
  <si>
    <t>4/30 @ 1pm</t>
  </si>
  <si>
    <t>4/30 @ 11am</t>
  </si>
  <si>
    <t>4/16 @10am</t>
  </si>
  <si>
    <t>4/16 @ 10am</t>
  </si>
  <si>
    <t xml:space="preserve">LYNNFIELD CENTER WATER DISTRICT </t>
  </si>
  <si>
    <t xml:space="preserve">New Account Update Brian Aug 23 </t>
  </si>
  <si>
    <t>NOT FUNDED</t>
  </si>
  <si>
    <t>4/29 @ 9am</t>
  </si>
  <si>
    <t>4/23/26 @2PM</t>
  </si>
  <si>
    <t>make lunch</t>
  </si>
  <si>
    <t>5/12 @12:30</t>
  </si>
  <si>
    <t>5/19 @10:30</t>
  </si>
  <si>
    <t>5/20 @ 12pm</t>
  </si>
  <si>
    <t>Ashling on maternity leave until late June</t>
  </si>
  <si>
    <t>5/19 @ 9am</t>
  </si>
  <si>
    <t>5/19 @ 11am</t>
  </si>
  <si>
    <t>5/19 @1:30</t>
  </si>
  <si>
    <t>5/19 @ 9:30</t>
  </si>
  <si>
    <t>4/29 @9:30</t>
  </si>
  <si>
    <t>5/12 @ 11am</t>
  </si>
  <si>
    <t>5/12 @ 9am</t>
  </si>
  <si>
    <t>5/26 @ 10am</t>
  </si>
  <si>
    <t>4/30 @1pm</t>
  </si>
  <si>
    <t>4/30 @ 10:30</t>
  </si>
  <si>
    <t>4/22 @ 3pm (Teams)</t>
  </si>
  <si>
    <t>Add column for rep that actually went onto the review</t>
  </si>
  <si>
    <t>Move Goshen which is in tab 4 over to tab 2 (it’s really close to Cummington) and makes sense to be in same territory</t>
  </si>
  <si>
    <t xml:space="preserve">Move Deerfield, So. Deerfield Fire and Frontier RSD over to tab 3 (currently in tab 4)  These three clients, Sunderland and Whately (who are in tab 3 are all next to each other and should be in same tab  </t>
  </si>
  <si>
    <t>Need to add Monterey as a client (it's actually not even showing up in the DO NOT EDIT - client list)  Should be in tab 1 under Gt Barrington</t>
  </si>
  <si>
    <t>4/28 @1pm (meet in Cheshire)</t>
  </si>
  <si>
    <t>5/14 @12pm</t>
  </si>
  <si>
    <t>5/4 @ 12pm LUNCH</t>
  </si>
  <si>
    <t>Treasurer works in Lanesborough/do same day</t>
  </si>
  <si>
    <t>Do with Lanesborough Water District</t>
  </si>
  <si>
    <t xml:space="preserve">dropped off not available </t>
  </si>
  <si>
    <t xml:space="preserve">Same Treasurer as Ipswich </t>
  </si>
  <si>
    <t>Same treas as Hamilton Wenham</t>
  </si>
  <si>
    <t>5/12 @ 2pm</t>
  </si>
  <si>
    <t>5/13 @ 3:30</t>
  </si>
  <si>
    <t>5/12 @12pm</t>
  </si>
  <si>
    <t>5/12 @ 1:30</t>
  </si>
  <si>
    <t>5/27 @ 12:30</t>
  </si>
  <si>
    <t>5/20 @ 10:30 (new treas)</t>
  </si>
  <si>
    <t>6/2 @ 10am</t>
  </si>
  <si>
    <t>6/2 @ 11:30</t>
  </si>
  <si>
    <t>5/27 @ 11</t>
  </si>
  <si>
    <t>4/30 @ 5pm</t>
  </si>
  <si>
    <t>4/29 @ 12:30pm</t>
  </si>
  <si>
    <t>email out</t>
  </si>
  <si>
    <t>5/21 @ 1:30</t>
  </si>
  <si>
    <t>5/21 @ 12pm</t>
  </si>
  <si>
    <t>5/12 @ 10:30</t>
  </si>
  <si>
    <t xml:space="preserve">Brian/ introduce another advisor Sole </t>
  </si>
  <si>
    <t>No Acct. rpt./Meet annually</t>
  </si>
  <si>
    <t>4/23 @ 9:15 am</t>
  </si>
  <si>
    <t>5/1 @9am</t>
  </si>
  <si>
    <t>5/19 @ 12pm</t>
  </si>
  <si>
    <t>5/21 @ 10:30</t>
  </si>
  <si>
    <t>5/14 @ 1:30</t>
  </si>
  <si>
    <t>6/2 @1pm (Virtual)</t>
  </si>
  <si>
    <t>5/14  @ 3pm</t>
  </si>
  <si>
    <t>5/4 @ 3pm virtual</t>
  </si>
  <si>
    <t xml:space="preserve">Add Worcester Library as a separate line. </t>
  </si>
  <si>
    <t>5/13 @ 10:30</t>
  </si>
  <si>
    <t>5/13/ @ noon ?</t>
  </si>
  <si>
    <t>Sara Hunter</t>
  </si>
  <si>
    <t xml:space="preserve">NEXT REVIEW in fall: Brenna, Town Admin, and Diane </t>
  </si>
  <si>
    <t>5/20 @ 3pm</t>
  </si>
  <si>
    <t>Coordinate with Niki</t>
  </si>
  <si>
    <t>5/21 @ 9am</t>
  </si>
  <si>
    <t xml:space="preserve">Add Worcester Trust Committee as a separate line. </t>
  </si>
  <si>
    <t>No T/C</t>
  </si>
  <si>
    <t>5/20 @ 1:30</t>
  </si>
  <si>
    <t>5/19/26 @ 1pm</t>
  </si>
  <si>
    <t>Add Sutton OPEB Trust Committee annual review only in Dec/Jan</t>
  </si>
  <si>
    <t xml:space="preserve">Add Oxford Library Board Review 6 copies needed </t>
  </si>
  <si>
    <t xml:space="preserve">Selectboard/Finance Committee annual meeting add Separate Tab </t>
  </si>
  <si>
    <t xml:space="preserve">Lunch Review preferred </t>
  </si>
  <si>
    <t>Located in Webster - No Sue  (same client UCC Federated First)</t>
  </si>
  <si>
    <t>Located in Webster - No Sue (same client UCC Federated)</t>
  </si>
  <si>
    <t>no contact, emailed performace reports</t>
  </si>
  <si>
    <t>no answer</t>
  </si>
  <si>
    <t>Sent material</t>
  </si>
  <si>
    <t>Sent reviews</t>
  </si>
  <si>
    <t>Need to add Porter Memorial Library in Blandford as a new client (place in tab 1)</t>
  </si>
  <si>
    <t>Need to add Lake Wickaboag Preservation in West Brookfield (they are a 501c(4) non profit)  Keith Arsenault private client to Josh (Tab 6)</t>
  </si>
  <si>
    <t>Declined/sent revie</t>
  </si>
  <si>
    <t>*For annual set up lunch appt.**</t>
  </si>
  <si>
    <t>Emailed PR</t>
  </si>
  <si>
    <t>emailed PR</t>
  </si>
  <si>
    <t xml:space="preserve">sent email </t>
  </si>
  <si>
    <t xml:space="preserve">Cancelled </t>
  </si>
  <si>
    <t>Tab 14 Taunton did not change to green to mark complete and not sure if it was counted as done on the dashboard</t>
  </si>
  <si>
    <t>KJC Questions</t>
  </si>
  <si>
    <t>who put this here and what does it mean</t>
  </si>
  <si>
    <t>MONTEREY, TOWN OF</t>
  </si>
  <si>
    <t>done</t>
  </si>
  <si>
    <t>PORTER MEMORIAL LIBRARY</t>
  </si>
  <si>
    <t>LAKE WICKABOAG PRESERVATION</t>
  </si>
  <si>
    <t>DONE</t>
  </si>
  <si>
    <t>done - it's just worcester city</t>
  </si>
  <si>
    <t>SUTTON OPEB COMMITTEE</t>
  </si>
  <si>
    <t>OXFORD LIBRARY</t>
  </si>
  <si>
    <t>8/24/26?</t>
  </si>
  <si>
    <t>8/27/26?</t>
  </si>
  <si>
    <t>9/9/26?</t>
  </si>
  <si>
    <t>9/10/26?</t>
  </si>
  <si>
    <t>Lunch</t>
  </si>
  <si>
    <t>Once a year/annual meeting*</t>
  </si>
  <si>
    <t>Spoke to Michelle, reach out in 2 months (5-11-26)  Offer lunch</t>
  </si>
  <si>
    <t>offer lunch</t>
  </si>
  <si>
    <t>9/16/26?</t>
  </si>
  <si>
    <t>9/17/26?</t>
  </si>
  <si>
    <t>8/26 @9:30am</t>
  </si>
  <si>
    <t>8/25 @ 9</t>
  </si>
  <si>
    <t>8/25 @9:30</t>
  </si>
  <si>
    <t>9/3 @10:30am</t>
  </si>
  <si>
    <t>8/25 @ 9am</t>
  </si>
  <si>
    <t>9/3 @12pm</t>
  </si>
  <si>
    <t>9/14/26?</t>
  </si>
  <si>
    <t>does not want to meet</t>
  </si>
  <si>
    <t>9/3 @ 1:30</t>
  </si>
  <si>
    <t>does not want to meet right now since met in April; send annual pdf</t>
  </si>
  <si>
    <t>New GF account - does not want to meet. Send annual pdf</t>
  </si>
  <si>
    <t>8/28 @ 12:30</t>
  </si>
  <si>
    <t>9/9 @9am</t>
  </si>
  <si>
    <t>9/9 @12pm</t>
  </si>
  <si>
    <t>9/16 @10am</t>
  </si>
  <si>
    <t>9/9 @12pm (Lunch)</t>
  </si>
  <si>
    <t>9/10 @9:30</t>
  </si>
  <si>
    <t>9/10 @ 9:30</t>
  </si>
  <si>
    <t>9/10 @ 12pm</t>
  </si>
  <si>
    <t>9/30 @10:30</t>
  </si>
  <si>
    <t>8/26 @2pm</t>
  </si>
  <si>
    <t>8/26 @ 12:30</t>
  </si>
  <si>
    <t>8/26 @ 11am</t>
  </si>
  <si>
    <t>8/27/2026 @12pm - lunch</t>
  </si>
  <si>
    <t>9/14 @ 12:30</t>
  </si>
  <si>
    <t>9/14 @12:30 in W. SB</t>
  </si>
  <si>
    <t>8/24 @2pm</t>
  </si>
  <si>
    <t>8/25 @ 12pm</t>
  </si>
  <si>
    <t>8/24 @ 3pm</t>
  </si>
  <si>
    <t>9/22 @ 11am</t>
  </si>
  <si>
    <t>9/17 @ 9:30</t>
  </si>
  <si>
    <t>wants to wait until new FD is hired</t>
  </si>
  <si>
    <t>TBD</t>
  </si>
  <si>
    <t>10/13 @ 12pm</t>
  </si>
  <si>
    <t>10/13 @ 12</t>
  </si>
  <si>
    <t>9/15 @ 2pm</t>
  </si>
  <si>
    <t>10/13 @ 10:30</t>
  </si>
  <si>
    <t>9/15 @ 10am</t>
  </si>
  <si>
    <t>9/23 @ 12:30</t>
  </si>
  <si>
    <t xml:space="preserve">9/3/26? </t>
  </si>
  <si>
    <t>9/17 @ 11:30 (lunch)</t>
  </si>
  <si>
    <t>9/24 @9am</t>
  </si>
  <si>
    <t xml:space="preserve">does not want to meet; send annual </t>
  </si>
  <si>
    <t>Donna and Lisa (TA) (Lunch only with Donna)</t>
  </si>
  <si>
    <t>9/22 @ 12:30</t>
  </si>
  <si>
    <t>9/24 @ 10:30am</t>
  </si>
  <si>
    <t>9/1/26?</t>
  </si>
  <si>
    <t>9/22 @ 9:30</t>
  </si>
  <si>
    <t>10/14 @10am</t>
  </si>
  <si>
    <t>9/23 @ 2pm</t>
  </si>
  <si>
    <t>9/15 @ 9:30</t>
  </si>
  <si>
    <t>9/15/26?</t>
  </si>
  <si>
    <t>9/21/26?</t>
  </si>
  <si>
    <t>9/22/26?</t>
  </si>
  <si>
    <t>9/21/2026?</t>
  </si>
  <si>
    <t>9/23/26?</t>
  </si>
  <si>
    <t>9/23 @ 9:30am</t>
  </si>
  <si>
    <t>MONTEREY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</si>
</sst>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theme="1" tint="4.9989318521683403E-2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2" fillId="0" borderId="3" xfId="0" applyFont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5" fillId="0" borderId="0" xfId="1" applyAlignment="1">
      <alignment vertical="center"/>
    </xf>
    <xf numFmtId="164" fontId="0" fillId="0" borderId="0" xfId="0" applyNumberFormat="1"/>
    <xf numFmtId="0" fontId="2" fillId="0" borderId="4" xfId="0" applyFont="1" applyBorder="1"/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14" fontId="4" fillId="2" borderId="5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5" xfId="0" applyFont="1" applyBorder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5" fillId="0" borderId="0" xfId="1" applyAlignment="1">
      <alignment horizontal="center"/>
    </xf>
    <xf numFmtId="9" fontId="0" fillId="0" borderId="0" xfId="2" applyFont="1"/>
    <xf numFmtId="0" fontId="1" fillId="0" borderId="0" xfId="0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0" fontId="7" fillId="0" borderId="7" xfId="0" applyFont="1" applyBorder="1"/>
    <xf numFmtId="0" fontId="7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9" fontId="1" fillId="0" borderId="12" xfId="2" applyFont="1" applyBorder="1" applyAlignment="1">
      <alignment horizontal="center" vertical="center"/>
    </xf>
    <xf numFmtId="0" fontId="7" fillId="0" borderId="13" xfId="0" applyFont="1" applyBorder="1"/>
    <xf numFmtId="9" fontId="7" fillId="0" borderId="14" xfId="2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9" fontId="1" fillId="0" borderId="10" xfId="2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38"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wrapper.dwcdn.net/TvOY0/6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4/21@%2010:30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EB83-9E10-344E-B712-2BBA14F8E56B}">
  <dimension ref="A1:J350"/>
  <sheetViews>
    <sheetView topLeftCell="G9" zoomScaleNormal="100" workbookViewId="0">
      <selection activeCell="J15" sqref="J15"/>
    </sheetView>
  </sheetViews>
  <sheetFormatPr defaultColWidth="10.81640625" defaultRowHeight="14.5" x14ac:dyDescent="0.35"/>
  <cols>
    <col min="1" max="1" width="41.54296875" bestFit="1" customWidth="1"/>
    <col min="2" max="2" width="17.81640625" customWidth="1"/>
    <col min="3" max="3" width="18" customWidth="1"/>
    <col min="4" max="4" width="6" style="3" customWidth="1"/>
    <col min="5" max="5" width="27" style="10" bestFit="1" customWidth="1"/>
    <col min="6" max="6" width="29.26953125" style="10" customWidth="1"/>
    <col min="7" max="7" width="69.7265625" bestFit="1" customWidth="1"/>
    <col min="8" max="8" width="38.26953125" customWidth="1"/>
    <col min="9" max="9" width="29.26953125" bestFit="1" customWidth="1"/>
  </cols>
  <sheetData>
    <row r="1" spans="1:10" ht="27" customHeight="1" x14ac:dyDescent="0.35">
      <c r="A1" s="16" t="s">
        <v>363</v>
      </c>
      <c r="B1" s="16" t="s">
        <v>5</v>
      </c>
      <c r="C1" s="16" t="s">
        <v>970</v>
      </c>
      <c r="D1" s="17" t="s">
        <v>955</v>
      </c>
      <c r="E1" s="18" t="s">
        <v>956</v>
      </c>
      <c r="F1" s="18" t="s">
        <v>1047</v>
      </c>
      <c r="G1" s="16" t="s">
        <v>957</v>
      </c>
      <c r="H1" s="16" t="s">
        <v>958</v>
      </c>
      <c r="I1" s="16" t="s">
        <v>1041</v>
      </c>
      <c r="J1" s="24" t="s">
        <v>1046</v>
      </c>
    </row>
    <row r="2" spans="1:10" x14ac:dyDescent="0.35">
      <c r="A2" s="15" t="s">
        <v>897</v>
      </c>
      <c r="B2" s="15" t="s">
        <v>941</v>
      </c>
      <c r="C2" t="s">
        <v>48</v>
      </c>
      <c r="D2" s="3">
        <f>_xlfn.XLOOKUP(C2,'Territory List'!$D$2:$D$352,'Territory List'!$G$2:$G$352)</f>
        <v>1</v>
      </c>
      <c r="E2" s="10" t="str">
        <f>VLOOKUP(A2,'1-Sue'!$A$2:$H$16,5,FALSE)</f>
        <v>4/28 @1pm (meet in Cheshire)</v>
      </c>
      <c r="F2" s="10" t="str">
        <f>VLOOKUP(A2,'1-Sue'!A15:J36,9,FALSE)</f>
        <v>9/14 @ 12:30</v>
      </c>
      <c r="G2" s="3" t="str">
        <f>_xlfn.IFNA(VLOOKUP(A2,'1-Sue'!$A$2:$H$16,6,FALSE)," ")</f>
        <v>-</v>
      </c>
      <c r="H2" s="3" t="str">
        <f>_xlfn.IFNA(VLOOKUP(A2,'1-Sue'!$A$2:$H$16,7,FALSE)," ")</f>
        <v>-</v>
      </c>
      <c r="I2" s="3" t="str">
        <f>_xlfn.IFNA(VLOOKUP(A2,'1-Sue'!$A$2:$H$16,8,FALSE)," ")</f>
        <v>-</v>
      </c>
      <c r="J2" s="3">
        <f>VLOOKUP(A2,'1-Sue'!$A$1:$J$24,10,FALSE)</f>
        <v>0</v>
      </c>
    </row>
    <row r="3" spans="1:10" x14ac:dyDescent="0.35">
      <c r="A3" s="4" t="s">
        <v>837</v>
      </c>
      <c r="B3" s="4" t="s">
        <v>838</v>
      </c>
      <c r="C3" t="s">
        <v>44</v>
      </c>
      <c r="D3" s="3">
        <f>_xlfn.XLOOKUP(C3,'Territory List'!$D$2:$D$352,'Territory List'!$G$2:$G$352)</f>
        <v>1</v>
      </c>
      <c r="E3" s="10" t="str">
        <f>VLOOKUP(A3,'1-Sue'!$A$2:$H$16,5,FALSE)</f>
        <v>5/4 @ 12pm LUNCH</v>
      </c>
      <c r="F3" s="10">
        <f>VLOOKUP(A3,'1-Sue'!A14:J35,9,FALSE)</f>
        <v>0</v>
      </c>
      <c r="G3" s="3" t="str">
        <f>_xlfn.IFNA(VLOOKUP(A3,'1-Sue'!$A$2:$H$16,6,FALSE)," ")</f>
        <v>-</v>
      </c>
      <c r="H3" s="3">
        <f>_xlfn.IFNA(VLOOKUP(A3,'1-Sue'!$A$2:$H$16,7,FALSE)," ")</f>
        <v>0</v>
      </c>
      <c r="I3" s="3" t="str">
        <f>_xlfn.IFNA(VLOOKUP(A3,'1-Sue'!$A$2:$H$16,8,FALSE)," ")</f>
        <v>-</v>
      </c>
      <c r="J3" s="3">
        <f>VLOOKUP(A3,'1-Sue'!$A$1:$J$24,10,FALSE)</f>
        <v>0</v>
      </c>
    </row>
    <row r="4" spans="1:10" x14ac:dyDescent="0.35">
      <c r="A4" s="4" t="s">
        <v>778</v>
      </c>
      <c r="B4" s="4" t="s">
        <v>38</v>
      </c>
      <c r="C4" t="s">
        <v>38</v>
      </c>
      <c r="D4" s="3">
        <f>_xlfn.XLOOKUP(C4,'Territory List'!$D$2:$D$352,'Territory List'!$G$2:$G$352)</f>
        <v>1</v>
      </c>
      <c r="E4" s="10" t="str">
        <f>VLOOKUP(A4,'1-Sue'!$A$2:$H$16,5,FALSE)</f>
        <v>5/13 @ 3:30</v>
      </c>
      <c r="F4" s="10" t="str">
        <f>VLOOKUP(A4,'1-Sue'!A13:J34,9,FALSE)</f>
        <v>9/17 @ 11:30 (lunch)</v>
      </c>
      <c r="G4" s="3" t="str">
        <f>_xlfn.IFNA(VLOOKUP(A4,'1-Sue'!$A$2:$H$16,6,FALSE)," ")</f>
        <v>Lunch</v>
      </c>
      <c r="H4" s="3" t="str">
        <f>_xlfn.IFNA(VLOOKUP(A4,'1-Sue'!$A$2:$H$16,7,FALSE)," ")</f>
        <v>-</v>
      </c>
      <c r="I4" s="3" t="str">
        <f>_xlfn.IFNA(VLOOKUP(A4,'1-Sue'!$A$2:$H$16,8,FALSE)," ")</f>
        <v>-</v>
      </c>
      <c r="J4" s="3">
        <f>VLOOKUP(A4,'1-Sue'!$A$1:$J$24,10,FALSE)</f>
        <v>0</v>
      </c>
    </row>
    <row r="5" spans="1:10" x14ac:dyDescent="0.35">
      <c r="A5" s="4" t="s">
        <v>736</v>
      </c>
      <c r="B5" s="4" t="s">
        <v>737</v>
      </c>
      <c r="C5" t="s">
        <v>34</v>
      </c>
      <c r="D5" s="3">
        <f>_xlfn.XLOOKUP(C5,'Territory List'!$D$2:$D$352,'Territory List'!$G$2:$G$352)</f>
        <v>1</v>
      </c>
      <c r="E5" s="10">
        <f>VLOOKUP(A5,'1-Sue'!$A$2:$H$16,5,FALSE)</f>
        <v>0</v>
      </c>
      <c r="F5" s="10" t="str">
        <f>VLOOKUP(A5,'1-Sue'!A12:J33,9,FALSE)</f>
        <v>9/30 @10:30</v>
      </c>
      <c r="G5" s="3" t="str">
        <f>_xlfn.IFNA(VLOOKUP(A5,'1-Sue'!$A$2:$H$16,6,FALSE)," ")</f>
        <v>-</v>
      </c>
      <c r="H5" s="3">
        <f>_xlfn.IFNA(VLOOKUP(A5,'1-Sue'!$A$2:$H$16,7,FALSE)," ")</f>
        <v>0</v>
      </c>
      <c r="I5" s="3" t="str">
        <f>_xlfn.IFNA(VLOOKUP(A5,'1-Sue'!$A$2:$H$16,8,FALSE)," ")</f>
        <v>-</v>
      </c>
      <c r="J5" s="3">
        <f>VLOOKUP(A5,'1-Sue'!$A$1:$J$24,10,FALSE)</f>
        <v>0</v>
      </c>
    </row>
    <row r="6" spans="1:10" x14ac:dyDescent="0.35">
      <c r="A6" s="4" t="s">
        <v>621</v>
      </c>
      <c r="B6" s="4" t="s">
        <v>622</v>
      </c>
      <c r="C6" t="s">
        <v>26</v>
      </c>
      <c r="D6" s="3">
        <f>_xlfn.XLOOKUP(C6,'Territory List'!$D$2:$D$352,'Territory List'!$G$2:$G$352)</f>
        <v>1</v>
      </c>
      <c r="E6" s="10" t="str">
        <f>VLOOKUP(A6,'1-Sue'!$A$2:$H$16,5,FALSE)</f>
        <v>Sent reviews</v>
      </c>
      <c r="F6" s="10" t="str">
        <f>VLOOKUP(A6,'1-Sue'!A10:J31,9,FALSE)</f>
        <v>9/17 @ 9:30</v>
      </c>
      <c r="G6" s="3" t="str">
        <f>_xlfn.IFNA(VLOOKUP(A6,'1-Sue'!$A$2:$H$16,6,FALSE)," ")</f>
        <v>Lunch</v>
      </c>
      <c r="H6" s="3">
        <f>_xlfn.IFNA(VLOOKUP(A6,'1-Sue'!$A$2:$H$16,7,FALSE)," ")</f>
        <v>0</v>
      </c>
      <c r="I6" s="3" t="str">
        <f>_xlfn.IFNA(VLOOKUP(A6,'1-Sue'!$A$2:$H$16,8,FALSE)," ")</f>
        <v>-</v>
      </c>
      <c r="J6" s="3">
        <f>VLOOKUP(A6,'1-Sue'!$A$1:$J$24,10,FALSE)</f>
        <v>0</v>
      </c>
    </row>
    <row r="7" spans="1:10" x14ac:dyDescent="0.35">
      <c r="A7" s="4" t="s">
        <v>616</v>
      </c>
      <c r="B7" s="4" t="s">
        <v>617</v>
      </c>
      <c r="C7" t="s">
        <v>25</v>
      </c>
      <c r="D7" s="3">
        <f>_xlfn.XLOOKUP(C7,'Territory List'!$D$2:$D$352,'Territory List'!$G$2:$G$352)</f>
        <v>1</v>
      </c>
      <c r="E7" s="10" t="str">
        <f>VLOOKUP(A7,'1-Sue'!$A$2:$H$16,5,FALSE)</f>
        <v xml:space="preserve">sent email </v>
      </c>
      <c r="F7" s="10">
        <f>VLOOKUP(A7,'1-Sue'!A8:J30,9,FALSE)</f>
        <v>0</v>
      </c>
      <c r="G7" s="3" t="str">
        <f>_xlfn.IFNA(VLOOKUP(A7,'1-Sue'!$A$2:$H$16,6,FALSE)," ")</f>
        <v>-</v>
      </c>
      <c r="H7" s="3" t="str">
        <f>_xlfn.IFNA(VLOOKUP(A7,'1-Sue'!$A$2:$H$16,7,FALSE)," ")</f>
        <v>Sue can't do this one (conflict of interest)</v>
      </c>
      <c r="I7" s="3" t="str">
        <f>_xlfn.IFNA(VLOOKUP(A7,'1-Sue'!$A$2:$H$16,8,FALSE)," ")</f>
        <v>-</v>
      </c>
      <c r="J7" s="3">
        <f>VLOOKUP(A7,'1-Sue'!$A$1:$J$24,10,FALSE)</f>
        <v>0</v>
      </c>
    </row>
    <row r="8" spans="1:10" x14ac:dyDescent="0.35">
      <c r="A8" s="4" t="s">
        <v>608</v>
      </c>
      <c r="B8" s="4" t="s">
        <v>609</v>
      </c>
      <c r="C8" t="s">
        <v>32</v>
      </c>
      <c r="D8" s="3">
        <f>_xlfn.XLOOKUP(C8,'Territory List'!$D$2:$D$352,'Territory List'!$G$2:$G$352)</f>
        <v>1</v>
      </c>
      <c r="E8" s="10" t="str">
        <f>VLOOKUP(A8,'1-Sue'!$A$2:$H$16,5,FALSE)</f>
        <v>5/13 @ 10:30</v>
      </c>
      <c r="F8" s="10">
        <f>VLOOKUP(A8,'1-Sue'!A11:J32,9,FALSE)</f>
        <v>0</v>
      </c>
      <c r="G8" s="3" t="str">
        <f>_xlfn.IFNA(VLOOKUP(A8,'1-Sue'!$A$2:$H$16,6,FALSE)," ")</f>
        <v>-</v>
      </c>
      <c r="H8" s="3" t="str">
        <f>_xlfn.IFNA(VLOOKUP(A8,'1-Sue'!$A$2:$H$16,7,FALSE)," ")</f>
        <v>-</v>
      </c>
      <c r="I8" s="3" t="str">
        <f>_xlfn.IFNA(VLOOKUP(A8,'1-Sue'!$A$2:$H$16,8,FALSE)," ")</f>
        <v>-</v>
      </c>
      <c r="J8" s="3">
        <f>VLOOKUP(A8,'1-Sue'!$A$1:$J$24,10,FALSE)</f>
        <v>0</v>
      </c>
    </row>
    <row r="9" spans="1:10" x14ac:dyDescent="0.35">
      <c r="A9" s="4" t="s">
        <v>560</v>
      </c>
      <c r="B9" s="4" t="s">
        <v>935</v>
      </c>
      <c r="C9" t="s">
        <v>20</v>
      </c>
      <c r="D9" s="3">
        <f>_xlfn.XLOOKUP(C9,'Territory List'!$D$2:$D$352,'Territory List'!$G$2:$G$352)</f>
        <v>1</v>
      </c>
      <c r="E9" s="10" t="str">
        <f>VLOOKUP(A9,'1-Sue'!$A$2:$H$16,5,FALSE)</f>
        <v>5/13/ @ noon ?</v>
      </c>
      <c r="F9" s="10">
        <f>VLOOKUP(A9,'1-Sue'!A7:J29,9,FALSE)</f>
        <v>0</v>
      </c>
      <c r="G9" s="3" t="str">
        <f>_xlfn.IFNA(VLOOKUP(A9,'1-Sue'!$A$2:$H$16,6,FALSE)," ")</f>
        <v>-</v>
      </c>
      <c r="H9" s="3" t="str">
        <f>_xlfn.IFNA(VLOOKUP(A9,'1-Sue'!$A$2:$H$16,7,FALSE)," ")</f>
        <v>-</v>
      </c>
      <c r="I9" s="3" t="str">
        <f>_xlfn.IFNA(VLOOKUP(A9,'1-Sue'!$A$2:$H$16,8,FALSE)," ")</f>
        <v>-</v>
      </c>
      <c r="J9" s="3">
        <f>VLOOKUP(A9,'1-Sue'!$A$1:$J$24,10,FALSE)</f>
        <v>0</v>
      </c>
    </row>
    <row r="10" spans="1:10" x14ac:dyDescent="0.35">
      <c r="A10" t="s">
        <v>1206</v>
      </c>
      <c r="B10" s="4" t="s">
        <v>1281</v>
      </c>
      <c r="C10" t="s">
        <v>29</v>
      </c>
      <c r="D10" s="3">
        <f>_xlfn.XLOOKUP(C10,'Territory List'!$D$2:$D$352,'Territory List'!$G$2:$G$352)</f>
        <v>1</v>
      </c>
      <c r="E10" s="10">
        <f>VLOOKUP(A10,'1-Sue'!$A$2:$H$16,5,FALSE)</f>
        <v>0</v>
      </c>
      <c r="F10" s="10">
        <f>VLOOKUP(A10,'1-Sue'!A8:J30,9,FALSE)</f>
        <v>0</v>
      </c>
      <c r="G10" s="3" t="str">
        <f>_xlfn.IFNA(VLOOKUP(A10,'1-Sue'!$A$2:$H$16,6,FALSE)," ")</f>
        <v>-</v>
      </c>
      <c r="H10" s="3" t="str">
        <f>_xlfn.IFNA(VLOOKUP(A10,'1-Sue'!$A$2:$H$16,7,FALSE)," ")</f>
        <v>-</v>
      </c>
      <c r="I10" s="3" t="str">
        <f>_xlfn.IFNA(VLOOKUP(A10,'1-Sue'!$A$2:$H$16,8,FALSE)," ")</f>
        <v>-</v>
      </c>
      <c r="J10" s="3">
        <f>VLOOKUP(A10,'1-Sue'!$A$1:$J$24,10,FALSE)</f>
        <v>0</v>
      </c>
    </row>
    <row r="11" spans="1:10" x14ac:dyDescent="0.35">
      <c r="A11" s="4" t="s">
        <v>510</v>
      </c>
      <c r="B11" s="4" t="s">
        <v>934</v>
      </c>
      <c r="C11" t="s">
        <v>17</v>
      </c>
      <c r="D11" s="3">
        <f>_xlfn.XLOOKUP(C11,'Territory List'!$D$2:$D$352,'Territory List'!$G$2:$G$352)</f>
        <v>1</v>
      </c>
      <c r="E11" s="10">
        <f>VLOOKUP(A11,'1-Sue'!$A$2:$H$16,5,FALSE)</f>
        <v>45739</v>
      </c>
      <c r="F11" s="10">
        <f>VLOOKUP(A11,'1-Sue'!A6:J28,9,FALSE)</f>
        <v>0</v>
      </c>
      <c r="G11" s="3" t="str">
        <f>_xlfn.IFNA(VLOOKUP(A11,'1-Sue'!$A$2:$H$16,6,FALSE)," ")</f>
        <v>-</v>
      </c>
      <c r="H11" s="3" t="str">
        <f>_xlfn.IFNA(VLOOKUP(A11,'1-Sue'!$A$2:$H$16,7,FALSE)," ")</f>
        <v>-</v>
      </c>
      <c r="I11" s="3" t="str">
        <f>_xlfn.IFNA(VLOOKUP(A11,'1-Sue'!$A$2:$H$16,8,FALSE)," ")</f>
        <v>-</v>
      </c>
      <c r="J11" s="3">
        <f>VLOOKUP(A11,'1-Sue'!$A$1:$J$24,10,FALSE)</f>
        <v>0</v>
      </c>
    </row>
    <row r="12" spans="1:10" x14ac:dyDescent="0.35">
      <c r="A12" s="4" t="s">
        <v>463</v>
      </c>
      <c r="B12" s="4" t="s">
        <v>464</v>
      </c>
      <c r="C12" t="s">
        <v>13</v>
      </c>
      <c r="D12" s="3">
        <f>_xlfn.XLOOKUP(C12,'Territory List'!$D$2:$D$352,'Territory List'!$G$2:$G$352)</f>
        <v>1</v>
      </c>
      <c r="E12" s="10">
        <f>VLOOKUP(A12,'1-Sue'!$A$2:$H$16,5,FALSE)</f>
        <v>46001</v>
      </c>
      <c r="F12" s="10">
        <f>VLOOKUP(A12,'1-Sue'!A4:J27,9,FALSE)</f>
        <v>0</v>
      </c>
      <c r="G12" s="3" t="str">
        <f>_xlfn.IFNA(VLOOKUP(A12,'1-Sue'!$A$2:$H$16,6,FALSE)," ")</f>
        <v>-</v>
      </c>
      <c r="H12" s="3" t="str">
        <f>_xlfn.IFNA(VLOOKUP(A12,'1-Sue'!$A$2:$H$16,7,FALSE)," ")</f>
        <v>Sara H (Blandford, Chester, Monterey)</v>
      </c>
      <c r="I12" s="3" t="str">
        <f>_xlfn.IFNA(VLOOKUP(A12,'1-Sue'!$A$2:$H$16,8,FALSE)," ")</f>
        <v>-</v>
      </c>
      <c r="J12" s="3">
        <f>VLOOKUP(A12,'1-Sue'!$A$1:$J$24,10,FALSE)</f>
        <v>0</v>
      </c>
    </row>
    <row r="13" spans="1:10" x14ac:dyDescent="0.35">
      <c r="A13" s="4" t="s">
        <v>420</v>
      </c>
      <c r="B13" s="4" t="s">
        <v>421</v>
      </c>
      <c r="C13" t="s">
        <v>10</v>
      </c>
      <c r="D13" s="3">
        <f>_xlfn.XLOOKUP(C13,'Territory List'!$D$2:$D$352,'Territory List'!$G$2:$G$352)</f>
        <v>1</v>
      </c>
      <c r="E13" s="10">
        <f>VLOOKUP(A13,'1-Sue'!$A$2:$H$16,5,FALSE)</f>
        <v>46001</v>
      </c>
      <c r="F13" s="10">
        <f>VLOOKUP(A13,'1-Sue'!A3:J26,9,FALSE)</f>
        <v>0</v>
      </c>
      <c r="G13" s="3" t="str">
        <f>_xlfn.IFNA(VLOOKUP(A13,'1-Sue'!$A$2:$H$16,6,FALSE)," ")</f>
        <v>-</v>
      </c>
      <c r="H13" s="3" t="str">
        <f>_xlfn.IFNA(VLOOKUP(A13,'1-Sue'!$A$2:$H$16,7,FALSE)," ")</f>
        <v>Sara H (Blandford, Chester, Monterey)</v>
      </c>
      <c r="I13" s="3" t="str">
        <f>_xlfn.IFNA(VLOOKUP(A13,'1-Sue'!$A$2:$H$16,8,FALSE)," ")</f>
        <v>-</v>
      </c>
      <c r="J13" s="3">
        <f>VLOOKUP(A13,'1-Sue'!$A$1:$J$24,10,FALSE)</f>
        <v>0</v>
      </c>
    </row>
    <row r="14" spans="1:10" x14ac:dyDescent="0.35">
      <c r="A14" s="4" t="s">
        <v>402</v>
      </c>
      <c r="B14" s="4" t="s">
        <v>403</v>
      </c>
      <c r="C14" t="s">
        <v>9</v>
      </c>
      <c r="D14" s="3">
        <f>_xlfn.XLOOKUP(C14,'Territory List'!$D$2:$D$352,'Territory List'!$G$2:$G$352)</f>
        <v>1</v>
      </c>
      <c r="E14" s="10">
        <f>VLOOKUP(A14,'1-Sue'!$A$2:$H$16,5,FALSE)</f>
        <v>46037</v>
      </c>
      <c r="F14" s="10" t="str">
        <f>VLOOKUP(A14,'1-Sue'!$A$1:$J$24,9,FALSE)</f>
        <v>8/25 @ 9</v>
      </c>
      <c r="G14" s="3" t="str">
        <f>_xlfn.IFNA(VLOOKUP(A14,'1-Sue'!$A$2:$H$16,6,FALSE)," ")</f>
        <v>-</v>
      </c>
      <c r="H14" s="3" t="str">
        <f>_xlfn.IFNA(VLOOKUP(A14,'1-Sue'!$A$2:$H$16,7,FALSE)," ")</f>
        <v>-</v>
      </c>
      <c r="I14" s="3" t="str">
        <f>_xlfn.IFNA(VLOOKUP(A14,'1-Sue'!$A$2:$H$16,8,FALSE)," ")</f>
        <v>-</v>
      </c>
      <c r="J14" s="3">
        <f>VLOOKUP(A14,'1-Sue'!$A$1:$J$24,10,FALSE)</f>
        <v>1</v>
      </c>
    </row>
    <row r="15" spans="1:10" x14ac:dyDescent="0.35">
      <c r="A15" s="4" t="s">
        <v>1050</v>
      </c>
      <c r="B15" s="4"/>
      <c r="C15" t="s">
        <v>9</v>
      </c>
      <c r="D15" s="3">
        <f>_xlfn.XLOOKUP(C15,'Territory List'!$D$2:$D$352,'Territory List'!$G$2:$G$352)</f>
        <v>1</v>
      </c>
      <c r="E15" s="10">
        <f>VLOOKUP(A15,'1-Sue'!$A$2:$H$16,5,FALSE)</f>
        <v>46037</v>
      </c>
      <c r="F15" s="10" t="str">
        <f>VLOOKUP(A15,'1-Sue'!A2:J25,9,FALSE)</f>
        <v>8/25 @9:30</v>
      </c>
      <c r="G15" s="3" t="str">
        <f>_xlfn.IFNA(VLOOKUP(A15,'1-Sue'!$A$2:$H$16,6,FALSE)," ")</f>
        <v>-</v>
      </c>
      <c r="H15" s="3" t="str">
        <f>_xlfn.IFNA(VLOOKUP(A15,'1-Sue'!$A$2:$H$16,7,FALSE)," ")</f>
        <v>-</v>
      </c>
      <c r="I15" s="3" t="str">
        <f>_xlfn.IFNA(VLOOKUP(A15,'1-Sue'!$A$2:$H$16,8,FALSE)," ")</f>
        <v>-</v>
      </c>
      <c r="J15" s="3">
        <f>VLOOKUP(A15,'1-Sue'!$A$1:$J$24,10,FALSE)</f>
        <v>1</v>
      </c>
    </row>
    <row r="16" spans="1:10" x14ac:dyDescent="0.35">
      <c r="A16" s="4" t="s">
        <v>922</v>
      </c>
      <c r="B16" s="4" t="s">
        <v>923</v>
      </c>
      <c r="C16" t="s">
        <v>50</v>
      </c>
      <c r="D16" s="3">
        <f>_xlfn.XLOOKUP(C16,'Territory List'!$D$2:$D$352,'Territory List'!$G$2:$G$352)</f>
        <v>2</v>
      </c>
      <c r="E16" s="10" t="str">
        <f>VLOOKUP(A16,'2-Sue'!$A$2:$H$12,5,FALSE)</f>
        <v>5/12 @ 1:30</v>
      </c>
      <c r="F16" s="10" t="str">
        <f>VLOOKUP(A16,'2-Sue'!$A$1:$J$24,9,FALSE)</f>
        <v>8/25 @ 12pm</v>
      </c>
      <c r="G16" s="3" t="str">
        <f>_xlfn.IFNA(VLOOKUP(A16,'2-Sue'!$A$2:$H$12,6,FALSE)," ")</f>
        <v>-</v>
      </c>
      <c r="H16" s="3">
        <f>_xlfn.IFNA(VLOOKUP(A16,'2-Sue'!$A$2:$H$12,7,FALSE)," ")</f>
        <v>3</v>
      </c>
      <c r="I16" s="3" t="str">
        <f>_xlfn.IFNA(VLOOKUP(A16,'2-Sue'!$A$2:$H$12,8,FALSE)," ")</f>
        <v>-</v>
      </c>
      <c r="J16" s="3">
        <f>VLOOKUP(A16,'2-Sue'!$A$1:$J$24,10,FALSE)</f>
        <v>1</v>
      </c>
    </row>
    <row r="17" spans="1:10" x14ac:dyDescent="0.35">
      <c r="A17" s="4" t="s">
        <v>916</v>
      </c>
      <c r="B17" s="4" t="s">
        <v>917</v>
      </c>
      <c r="C17" t="s">
        <v>49</v>
      </c>
      <c r="D17" s="3">
        <f>_xlfn.XLOOKUP(C17,'Territory List'!$D$2:$D$352,'Territory List'!$G$2:$G$352)</f>
        <v>2</v>
      </c>
      <c r="E17" s="10" t="str">
        <f>VLOOKUP(A17,'2-Sue'!$A$2:$H$12,5,FALSE)</f>
        <v>3/18/2026 @ 2:00</v>
      </c>
      <c r="F17" s="10" t="str">
        <f>VLOOKUP(A17,'2-Sue'!$A$1:$J$24,9,FALSE)</f>
        <v>9/16 @10am</v>
      </c>
      <c r="G17" s="3" t="str">
        <f>_xlfn.IFNA(VLOOKUP(A17,'2-Sue'!$A$2:$H$12,6,FALSE)," ")</f>
        <v>lunch</v>
      </c>
      <c r="H17" s="3" t="str">
        <f>_xlfn.IFNA(VLOOKUP(A17,'2-Sue'!$A$2:$H$12,7,FALSE)," ")</f>
        <v>-</v>
      </c>
      <c r="I17" s="3" t="str">
        <f>_xlfn.IFNA(VLOOKUP(A17,'2-Sue'!$A$2:$H$12,8,FALSE)," ")</f>
        <v>-</v>
      </c>
      <c r="J17" s="3">
        <f>VLOOKUP(A17,'2-Sue'!$A$1:$J$24,10,FALSE)</f>
        <v>0</v>
      </c>
    </row>
    <row r="18" spans="1:10" x14ac:dyDescent="0.35">
      <c r="A18" s="4" t="s">
        <v>783</v>
      </c>
      <c r="B18" s="4" t="s">
        <v>784</v>
      </c>
      <c r="C18" t="s">
        <v>39</v>
      </c>
      <c r="D18" s="3">
        <f>_xlfn.XLOOKUP(C18,'Territory List'!$D$2:$D$352,'Territory List'!$G$2:$G$352)</f>
        <v>2</v>
      </c>
      <c r="E18" s="10">
        <f>VLOOKUP(A18,'2-Sue'!$A$2:$H$12,5,FALSE)</f>
        <v>46099</v>
      </c>
      <c r="F18" s="10">
        <f>VLOOKUP(A18,'2-Sue'!$A$1:$J$24,9,FALSE)</f>
        <v>0</v>
      </c>
      <c r="G18" s="3" t="str">
        <f>_xlfn.IFNA(VLOOKUP(A18,'2-Sue'!$A$2:$H$12,6,FALSE)," ")</f>
        <v>-</v>
      </c>
      <c r="H18" s="3" t="str">
        <f>_xlfn.IFNA(VLOOKUP(A18,'2-Sue'!$A$2:$H$12,7,FALSE)," ")</f>
        <v>-</v>
      </c>
      <c r="I18" s="3" t="str">
        <f>_xlfn.IFNA(VLOOKUP(A18,'2-Sue'!$A$2:$H$12,8,FALSE)," ")</f>
        <v>-</v>
      </c>
      <c r="J18" s="3">
        <f>VLOOKUP(A18,'2-Sue'!$A$1:$J$24,10,FALSE)</f>
        <v>0</v>
      </c>
    </row>
    <row r="19" spans="1:10" x14ac:dyDescent="0.35">
      <c r="A19" s="4" t="s">
        <v>755</v>
      </c>
      <c r="B19" s="4" t="s">
        <v>756</v>
      </c>
      <c r="C19" t="s">
        <v>36</v>
      </c>
      <c r="D19" s="3">
        <f>_xlfn.XLOOKUP(C19,'Territory List'!$D$2:$D$352,'Territory List'!$G$2:$G$352)</f>
        <v>2</v>
      </c>
      <c r="E19" s="10">
        <f>VLOOKUP(A19,'2-Sue'!$A$2:$H$12,5,FALSE)</f>
        <v>46108</v>
      </c>
      <c r="F19" s="10" t="str">
        <f>VLOOKUP(A19,'2-Sue'!$A$1:$J$24,9,FALSE)</f>
        <v>8/27/2026 @12pm - lunch</v>
      </c>
      <c r="G19" s="3" t="str">
        <f>_xlfn.IFNA(VLOOKUP(A19,'2-Sue'!$A$2:$H$12,6,FALSE)," ")</f>
        <v>Always offer to do lunch</v>
      </c>
      <c r="H19" s="3">
        <f>_xlfn.IFNA(VLOOKUP(A19,'2-Sue'!$A$2:$H$12,7,FALSE)," ")</f>
        <v>2</v>
      </c>
      <c r="I19" s="3" t="str">
        <f>_xlfn.IFNA(VLOOKUP(A19,'2-Sue'!$A$2:$H$12,8,FALSE)," ")</f>
        <v>-</v>
      </c>
      <c r="J19" s="3">
        <f>VLOOKUP(A19,'2-Sue'!$A$1:$J$24,10,FALSE)</f>
        <v>1</v>
      </c>
    </row>
    <row r="20" spans="1:10" x14ac:dyDescent="0.35">
      <c r="A20" s="4" t="s">
        <v>707</v>
      </c>
      <c r="B20" s="4" t="s">
        <v>708</v>
      </c>
      <c r="C20" t="s">
        <v>33</v>
      </c>
      <c r="D20" s="3">
        <f>_xlfn.XLOOKUP(C20,'Territory List'!$D$2:$D$352,'Territory List'!$G$2:$G$352)</f>
        <v>2</v>
      </c>
      <c r="E20" s="10">
        <f>VLOOKUP(A20,'2-Sue'!$A$2:$H$12,5,FALSE)</f>
        <v>46099</v>
      </c>
      <c r="F20" s="10" t="str">
        <f>VLOOKUP(A20,'2-Sue'!$A$1:$J$24,9,FALSE)</f>
        <v>9/9 @12pm</v>
      </c>
      <c r="G20" s="3" t="str">
        <f>_xlfn.IFNA(VLOOKUP(A20,'2-Sue'!$A$2:$H$12,6,FALSE)," ")</f>
        <v>-</v>
      </c>
      <c r="H20" s="3">
        <f>_xlfn.IFNA(VLOOKUP(A20,'2-Sue'!$A$2:$H$12,7,FALSE)," ")</f>
        <v>3</v>
      </c>
      <c r="I20" s="3" t="str">
        <f>_xlfn.IFNA(VLOOKUP(A20,'2-Sue'!$A$2:$H$12,8,FALSE)," ")</f>
        <v>-</v>
      </c>
      <c r="J20" s="3">
        <f>VLOOKUP(A20,'2-Sue'!$A$1:$J$24,10,FALSE)</f>
        <v>0</v>
      </c>
    </row>
    <row r="21" spans="1:10" x14ac:dyDescent="0.35">
      <c r="A21" s="4" t="s">
        <v>613</v>
      </c>
      <c r="B21" s="4" t="s">
        <v>614</v>
      </c>
      <c r="C21" t="s">
        <v>24</v>
      </c>
      <c r="D21" s="3">
        <f>_xlfn.XLOOKUP(C21,'Territory List'!$D$2:$D$352,'Territory List'!$G$2:$G$352)</f>
        <v>2</v>
      </c>
      <c r="E21" s="10" t="str">
        <f>VLOOKUP(A21,'2-Sue'!$A$2:$H$12,5,FALSE)</f>
        <v>5/12 @ 10:30</v>
      </c>
      <c r="F21" s="10" t="str">
        <f>VLOOKUP(A21,'2-Sue'!$A$1:$J$24,9,FALSE)</f>
        <v>9/17 @ 11:30 (lunch)</v>
      </c>
      <c r="G21" s="3" t="str">
        <f>_xlfn.IFNA(VLOOKUP(A21,'2-Sue'!$A$2:$H$12,6,FALSE)," ")</f>
        <v>Do with Lanesborough Water District</v>
      </c>
      <c r="H21" s="3" t="str">
        <f>_xlfn.IFNA(VLOOKUP(A21,'2-Sue'!$A$2:$H$12,7,FALSE)," ")</f>
        <v>-</v>
      </c>
      <c r="I21" s="3" t="str">
        <f>_xlfn.IFNA(VLOOKUP(A21,'2-Sue'!$A$2:$H$12,8,FALSE)," ")</f>
        <v>-</v>
      </c>
      <c r="J21" s="3">
        <f>VLOOKUP(A21,'2-Sue'!$A$1:$J$24,10,FALSE)</f>
        <v>0</v>
      </c>
    </row>
    <row r="22" spans="1:10" x14ac:dyDescent="0.35">
      <c r="A22" s="4" t="s">
        <v>612</v>
      </c>
      <c r="B22" s="4" t="s">
        <v>24</v>
      </c>
      <c r="C22" t="s">
        <v>24</v>
      </c>
      <c r="D22" s="3">
        <f>_xlfn.XLOOKUP(C22,'Territory List'!$D$2:$D$352,'Territory List'!$G$2:$G$352)</f>
        <v>2</v>
      </c>
      <c r="E22" s="10" t="str">
        <f>VLOOKUP(A22,'2-Sue'!$A$2:$H$12,5,FALSE)</f>
        <v>5/12 @12pm</v>
      </c>
      <c r="F22" s="10" t="str">
        <f>VLOOKUP(A22,'2-Sue'!$A$1:$J$24,9,FALSE)</f>
        <v>8/28 @ 12:30</v>
      </c>
      <c r="G22" s="3" t="str">
        <f>_xlfn.IFNA(VLOOKUP(A22,'2-Sue'!$A$2:$H$12,6,FALSE)," ")</f>
        <v>Treasurer works in Lanesborough/do same day</v>
      </c>
      <c r="H22" s="3" t="str">
        <f>_xlfn.IFNA(VLOOKUP(A22,'2-Sue'!$A$2:$H$12,7,FALSE)," ")</f>
        <v>-</v>
      </c>
      <c r="I22" s="3" t="str">
        <f>_xlfn.IFNA(VLOOKUP(A22,'2-Sue'!$A$2:$H$12,8,FALSE)," ")</f>
        <v>-</v>
      </c>
      <c r="J22" s="3">
        <f>VLOOKUP(A22,'2-Sue'!$A$1:$J$24,10,FALSE)</f>
        <v>0</v>
      </c>
    </row>
    <row r="23" spans="1:10" x14ac:dyDescent="0.35">
      <c r="A23" s="4" t="s">
        <v>481</v>
      </c>
      <c r="B23" s="4" t="s">
        <v>482</v>
      </c>
      <c r="C23" t="s">
        <v>15</v>
      </c>
      <c r="D23" s="3">
        <f>_xlfn.XLOOKUP(C23,'Territory List'!$D$2:$D$352,'Territory List'!$G$2:$G$352)</f>
        <v>2</v>
      </c>
      <c r="E23" s="10">
        <f>VLOOKUP(A23,'2-Sue'!$A$2:$H$12,5,FALSE)</f>
        <v>46030</v>
      </c>
      <c r="F23" s="10" t="str">
        <f>VLOOKUP(A23,'2-Sue'!$A$1:$J$24,9,FALSE)</f>
        <v>9/10 @9:30</v>
      </c>
      <c r="G23" s="3" t="str">
        <f>_xlfn.IFNA(VLOOKUP(A23,'2-Sue'!$A$2:$H$12,6,FALSE)," ")</f>
        <v>Allan K also in Goshen</v>
      </c>
      <c r="H23" s="3" t="str">
        <f>_xlfn.IFNA(VLOOKUP(A23,'2-Sue'!$A$2:$H$12,7,FALSE)," ")</f>
        <v>-</v>
      </c>
      <c r="I23" s="3" t="str">
        <f>_xlfn.IFNA(VLOOKUP(A23,'2-Sue'!$A$2:$H$12,8,FALSE)," ")</f>
        <v>-</v>
      </c>
      <c r="J23" s="3">
        <f>VLOOKUP(A23,'2-Sue'!$A$1:$J$24,10,FALSE)</f>
        <v>0</v>
      </c>
    </row>
    <row r="24" spans="1:10" x14ac:dyDescent="0.35">
      <c r="A24" s="4" t="s">
        <v>461</v>
      </c>
      <c r="B24" s="4" t="s">
        <v>462</v>
      </c>
      <c r="C24" t="s">
        <v>12</v>
      </c>
      <c r="D24" s="3">
        <f>_xlfn.XLOOKUP(C24,'Territory List'!$D$2:$D$352,'Territory List'!$G$2:$G$352)</f>
        <v>2</v>
      </c>
      <c r="E24" s="10">
        <f>VLOOKUP(A24,'2-Sue'!$A$2:$H$12,5,FALSE)</f>
        <v>46140</v>
      </c>
      <c r="F24" s="10" t="str">
        <f>VLOOKUP(A24,'2-Sue'!$A$1:$J$24,9,FALSE)</f>
        <v>9/14 @12:30 in W. SB</v>
      </c>
      <c r="G24" s="3" t="str">
        <f>_xlfn.IFNA(VLOOKUP(A24,'2-Sue'!$A$2:$H$12,6,FALSE)," ")</f>
        <v>-</v>
      </c>
      <c r="H24" s="3">
        <f>_xlfn.IFNA(VLOOKUP(A24,'2-Sue'!$A$2:$H$12,7,FALSE)," ")</f>
        <v>3</v>
      </c>
      <c r="I24" s="3" t="str">
        <f>_xlfn.IFNA(VLOOKUP(A24,'2-Sue'!$A$2:$H$12,8,FALSE)," ")</f>
        <v>-</v>
      </c>
      <c r="J24" s="3">
        <f>VLOOKUP(A24,'2-Sue'!$A$1:$J$24,10,FALSE)</f>
        <v>0</v>
      </c>
    </row>
    <row r="25" spans="1:10" x14ac:dyDescent="0.35">
      <c r="A25" s="4" t="s">
        <v>371</v>
      </c>
      <c r="B25" s="4" t="s">
        <v>372</v>
      </c>
      <c r="C25" t="s">
        <v>7</v>
      </c>
      <c r="D25" s="3">
        <f>_xlfn.XLOOKUP(C25,'Territory List'!$D$2:$D$352,'Territory List'!$G$2:$G$352)</f>
        <v>2</v>
      </c>
      <c r="E25" s="10">
        <f>VLOOKUP(A25,'2-Sue'!$A$2:$H$12,5,FALSE)</f>
        <v>46050</v>
      </c>
      <c r="F25" s="10" t="str">
        <f>VLOOKUP(A25,'2-Sue'!$A$1:$J$24,9,FALSE)</f>
        <v>9/9 @9am</v>
      </c>
      <c r="G25" s="3" t="str">
        <f>_xlfn.IFNA(VLOOKUP(A25,'2-Sue'!$A$2:$H$12,6,FALSE)," ")</f>
        <v>-</v>
      </c>
      <c r="H25" s="3">
        <f>_xlfn.IFNA(VLOOKUP(A25,'2-Sue'!$A$2:$H$12,7,FALSE)," ")</f>
        <v>3</v>
      </c>
      <c r="I25" s="3" t="str">
        <f>_xlfn.IFNA(VLOOKUP(A25,'2-Sue'!$A$2:$H$12,8,FALSE)," ")</f>
        <v>-</v>
      </c>
      <c r="J25" s="3">
        <f>VLOOKUP(A25,'2-Sue'!$A$1:$J$24,10,FALSE)</f>
        <v>0</v>
      </c>
    </row>
    <row r="26" spans="1:10" x14ac:dyDescent="0.35">
      <c r="A26" s="4" t="s">
        <v>555</v>
      </c>
      <c r="B26" s="4" t="s">
        <v>556</v>
      </c>
      <c r="C26" t="s">
        <v>326</v>
      </c>
      <c r="D26" s="3">
        <f>_xlfn.XLOOKUP(C26,'Territory List'!$D$2:$D$352,'Territory List'!$G$2:$G$352)</f>
        <v>2</v>
      </c>
      <c r="E26" s="10">
        <f>VLOOKUP(A26,'2-Sue'!$A$2:$F$21,3,FALSE)</f>
        <v>46030</v>
      </c>
      <c r="F26" s="10" t="str">
        <f>VLOOKUP(A26,'2-Sue'!$A$1:$H$40,7,FALSE)</f>
        <v>-</v>
      </c>
      <c r="G26" s="3" t="str">
        <f>VLOOKUP(A26,'2-Sue'!$A$2:$F$21,6,FALSE)</f>
        <v>-</v>
      </c>
      <c r="H26" s="3" t="str">
        <f>VLOOKUP(A26,'2-Sue'!$A$2:$J$21,7,FALSE)</f>
        <v>-</v>
      </c>
      <c r="I26" s="3" t="str">
        <f>VLOOKUP(A26,'2-Sue'!$A$2:$F$21,6,FALSE)</f>
        <v>-</v>
      </c>
      <c r="J26" s="3" t="str">
        <f>VLOOKUP(A26,'2-Sue'!$A$1:$H$40,8,FALSE)</f>
        <v>-</v>
      </c>
    </row>
    <row r="27" spans="1:10" x14ac:dyDescent="0.35">
      <c r="A27" s="4" t="s">
        <v>909</v>
      </c>
      <c r="B27" s="4" t="s">
        <v>942</v>
      </c>
      <c r="C27" t="s">
        <v>355</v>
      </c>
      <c r="D27" s="3">
        <f>_xlfn.XLOOKUP(C27,'Territory List'!$D$2:$D$352,'Territory List'!$G$2:$G$352)</f>
        <v>3</v>
      </c>
      <c r="E27" s="10">
        <f>VLOOKUP(A27,'3-Sue'!$A$2:$F$22,3,FALSE)</f>
        <v>46035</v>
      </c>
      <c r="F27" s="10">
        <f>VLOOKUP(A27,'3-Sue'!$A$1:$H$45,7,FALSE)</f>
        <v>0</v>
      </c>
      <c r="G27" s="3" t="str">
        <f>VLOOKUP(A27,'3-Sue'!$A$2:$F$22,4,FALSE)</f>
        <v>-</v>
      </c>
      <c r="H27" s="3" t="str">
        <f>VLOOKUP(A27,'3-Sue'!$A$2:$F$22,5,FALSE)</f>
        <v>-</v>
      </c>
      <c r="I27" s="3" t="str">
        <f>VLOOKUP(A27,'3-Sue'!$A$2:$F$22,6,FALSE)</f>
        <v>-</v>
      </c>
      <c r="J27" s="3">
        <f>VLOOKUP(A27,'3-Sue'!$A$1:$H$45,8,FALSE)</f>
        <v>0</v>
      </c>
    </row>
    <row r="28" spans="1:10" x14ac:dyDescent="0.35">
      <c r="A28" s="4" t="s">
        <v>899</v>
      </c>
      <c r="B28" s="4" t="s">
        <v>900</v>
      </c>
      <c r="C28" t="s">
        <v>354</v>
      </c>
      <c r="D28" s="3">
        <f>_xlfn.XLOOKUP(C28,'Territory List'!$D$2:$D$352,'Territory List'!$G$2:$G$352)</f>
        <v>3</v>
      </c>
      <c r="E28" s="10" t="str">
        <f>VLOOKUP(A28,'3-Sue'!$A$2:$F$22,3,FALSE)</f>
        <v>4/21 @10am</v>
      </c>
      <c r="F28" s="10" t="str">
        <f>VLOOKUP(A28,'3-Sue'!$A$1:$H$45,7,FALSE)</f>
        <v>10/13 @ 12pm</v>
      </c>
      <c r="G28" s="3" t="str">
        <f>VLOOKUP(A28,'3-Sue'!$A$2:$F$22,4,FALSE)</f>
        <v>Ryan (Westhampton, Barre</v>
      </c>
      <c r="H28" s="3" t="str">
        <f>VLOOKUP(A28,'3-Sue'!$A$2:$F$22,5,FALSE)</f>
        <v>-</v>
      </c>
      <c r="I28" s="3" t="str">
        <f>VLOOKUP(A28,'3-Sue'!$A$2:$F$22,6,FALSE)</f>
        <v>-</v>
      </c>
      <c r="J28" s="3">
        <f>VLOOKUP(A28,'3-Sue'!$A$1:$H$45,8,FALSE)</f>
        <v>0</v>
      </c>
    </row>
    <row r="29" spans="1:10" x14ac:dyDescent="0.35">
      <c r="A29" s="4" t="s">
        <v>853</v>
      </c>
      <c r="B29" s="4" t="s">
        <v>854</v>
      </c>
      <c r="C29" t="s">
        <v>349</v>
      </c>
      <c r="D29" s="3">
        <f>_xlfn.XLOOKUP(C29,'Territory List'!$D$2:$D$352,'Territory List'!$G$2:$G$352)</f>
        <v>3</v>
      </c>
      <c r="E29" s="10" t="str">
        <f>VLOOKUP(A29,'3-Sue'!$A$2:$F$22,3,FALSE)</f>
        <v>5/19 @ 11am</v>
      </c>
      <c r="F29" s="10">
        <f>VLOOKUP(A29,'3-Sue'!$A$1:$H$45,7,FALSE)</f>
        <v>0</v>
      </c>
      <c r="G29" s="3" t="str">
        <f>VLOOKUP(A29,'3-Sue'!$A$2:$F$22,4,FALSE)</f>
        <v>-</v>
      </c>
      <c r="H29" s="3" t="str">
        <f>VLOOKUP(A29,'3-Sue'!$A$2:$F$22,5,FALSE)</f>
        <v>-</v>
      </c>
      <c r="I29" s="3"/>
      <c r="J29" s="3">
        <f>VLOOKUP(A29,'3-Sue'!$A$1:$H$45,8,FALSE)</f>
        <v>0</v>
      </c>
    </row>
    <row r="30" spans="1:10" x14ac:dyDescent="0.35">
      <c r="A30" s="4" t="s">
        <v>834</v>
      </c>
      <c r="B30" s="4" t="s">
        <v>374</v>
      </c>
      <c r="C30" t="s">
        <v>313</v>
      </c>
      <c r="D30" s="3">
        <f>_xlfn.XLOOKUP(C30,'Territory List'!$D$2:$D$352,'Territory List'!$G$2:$G$352)</f>
        <v>3</v>
      </c>
      <c r="E30" s="10">
        <f>VLOOKUP(A30,'3-Sue'!$A$2:$F$22,3,FALSE)</f>
        <v>46195.479166666664</v>
      </c>
      <c r="F30" s="10">
        <f>VLOOKUP(A30,'3-Sue'!$A$1:$H$45,7,FALSE)</f>
        <v>0</v>
      </c>
      <c r="G30" s="3" t="str">
        <f>VLOOKUP(A30,'3-Sue'!$A$2:$F$22,4,FALSE)</f>
        <v>Once a year/annual meeting*</v>
      </c>
      <c r="H30" s="3" t="str">
        <f>VLOOKUP(A30,'3-Sue'!$A$2:$F$22,5,FALSE)</f>
        <v>10 CY-3 FY</v>
      </c>
      <c r="I30" s="3" t="str">
        <f>VLOOKUP(A30,'3-Sue'!$A$2:$F$22,6,FALSE)</f>
        <v>2 advisors</v>
      </c>
      <c r="J30" s="3">
        <f>VLOOKUP(A30,'3-Sue'!$A$1:$H$45,8,FALSE)</f>
        <v>1</v>
      </c>
    </row>
    <row r="31" spans="1:10" x14ac:dyDescent="0.35">
      <c r="A31" s="4" t="s">
        <v>830</v>
      </c>
      <c r="B31" s="4" t="s">
        <v>831</v>
      </c>
      <c r="C31" t="s">
        <v>347</v>
      </c>
      <c r="D31" s="3">
        <f>_xlfn.XLOOKUP(C31,'Territory List'!$D$2:$D$352,'Territory List'!$G$2:$G$352)</f>
        <v>3</v>
      </c>
      <c r="E31" s="10" t="str">
        <f>VLOOKUP(A31,'3-Sue'!$A$2:$F$22,3,FALSE)</f>
        <v>3/19/2026 @ 10:00</v>
      </c>
      <c r="F31" s="10">
        <f>VLOOKUP(A31,'3-Sue'!$A$1:$H$45,7,FALSE)</f>
        <v>0</v>
      </c>
      <c r="G31" s="3" t="str">
        <f>VLOOKUP(A31,'3-Sue'!$A$2:$F$22,4,FALSE)</f>
        <v>Annual review with committee</v>
      </c>
      <c r="H31" s="3">
        <f>VLOOKUP(A31,'3-Sue'!$A$2:$F$22,5,FALSE)</f>
        <v>20</v>
      </c>
      <c r="I31" s="3" t="str">
        <f>VLOOKUP(A31,'3-Sue'!$A$2:$F$22,6,FALSE)</f>
        <v>-</v>
      </c>
      <c r="J31" s="3">
        <f>VLOOKUP(A31,'3-Sue'!$A$1:$H$45,8,FALSE)</f>
        <v>0</v>
      </c>
    </row>
    <row r="32" spans="1:10" x14ac:dyDescent="0.35">
      <c r="A32" s="4" t="s">
        <v>822</v>
      </c>
      <c r="B32" s="4" t="s">
        <v>823</v>
      </c>
      <c r="C32" t="s">
        <v>346</v>
      </c>
      <c r="D32" s="3">
        <f>_xlfn.XLOOKUP(C32,'Territory List'!$D$2:$D$352,'Territory List'!$G$2:$G$352)</f>
        <v>3</v>
      </c>
      <c r="E32" s="10" t="str">
        <f>VLOOKUP(A32,'3-Sue'!$A$2:$F$22,3,FALSE)</f>
        <v>Sent material</v>
      </c>
      <c r="F32" s="10">
        <f>VLOOKUP(A32,'3-Sue'!$A$1:$H$45,7,FALSE)</f>
        <v>0</v>
      </c>
      <c r="G32" s="3" t="str">
        <f>VLOOKUP(A32,'3-Sue'!$A$2:$F$22,4,FALSE)</f>
        <v>-</v>
      </c>
      <c r="H32" s="3" t="str">
        <f>VLOOKUP(A32,'3-Sue'!$A$2:$F$22,5,FALSE)</f>
        <v>-</v>
      </c>
      <c r="I32" s="3" t="str">
        <f>VLOOKUP(A32,'3-Sue'!$A$2:$F$22,6,FALSE)</f>
        <v>-</v>
      </c>
      <c r="J32" s="3">
        <f>VLOOKUP(A32,'3-Sue'!$A$1:$H$45,8,FALSE)</f>
        <v>0</v>
      </c>
    </row>
    <row r="33" spans="1:10" x14ac:dyDescent="0.35">
      <c r="A33" s="4" t="s">
        <v>820</v>
      </c>
      <c r="B33" s="4" t="s">
        <v>819</v>
      </c>
      <c r="C33" t="s">
        <v>345</v>
      </c>
      <c r="D33" s="3">
        <f>_xlfn.XLOOKUP(C33,'Territory List'!$D$2:$D$352,'Territory List'!$G$2:$G$352)</f>
        <v>3</v>
      </c>
      <c r="E33" s="10">
        <f>VLOOKUP(A33,'3-Sue'!$A$2:$F$22,3,FALSE)</f>
        <v>46051</v>
      </c>
      <c r="F33" s="10">
        <f>VLOOKUP(A33,'3-Sue'!$A$1:$H$45,7,FALSE)</f>
        <v>0</v>
      </c>
      <c r="G33" s="3" t="str">
        <f>VLOOKUP(A33,'3-Sue'!$A$2:$F$22,4,FALSE)</f>
        <v>Donna and Lisa (TA) (Lunch only with Donna)</v>
      </c>
      <c r="H33" s="3" t="str">
        <f>VLOOKUP(A33,'3-Sue'!$A$2:$F$22,5,FALSE)</f>
        <v>-</v>
      </c>
      <c r="I33" s="3" t="str">
        <f>VLOOKUP(A33,'3-Sue'!$A$2:$F$22,6,FALSE)</f>
        <v>-</v>
      </c>
      <c r="J33" s="3">
        <f>VLOOKUP(A33,'3-Sue'!$A$1:$H$45,8,FALSE)</f>
        <v>0</v>
      </c>
    </row>
    <row r="34" spans="1:10" x14ac:dyDescent="0.35">
      <c r="A34" s="4" t="s">
        <v>818</v>
      </c>
      <c r="B34" s="4" t="s">
        <v>819</v>
      </c>
      <c r="C34" t="s">
        <v>345</v>
      </c>
      <c r="D34" s="3">
        <f>_xlfn.XLOOKUP(C34,'Territory List'!$D$2:$D$352,'Territory List'!$G$2:$G$352)</f>
        <v>3</v>
      </c>
      <c r="E34" s="10" t="str">
        <f>VLOOKUP(A34,'3-Sue'!$A$2:$F$22,3,FALSE)</f>
        <v>4/30 @ 11am</v>
      </c>
      <c r="F34" s="10">
        <f>VLOOKUP(A34,'3-Sue'!$A$1:$H$45,7,FALSE)</f>
        <v>0</v>
      </c>
      <c r="G34" s="3" t="str">
        <f>VLOOKUP(A34,'3-Sue'!$A$2:$F$22,4,FALSE)</f>
        <v>For annual review invite committee**</v>
      </c>
      <c r="H34" s="3" t="str">
        <f>VLOOKUP(A34,'3-Sue'!$A$2:$F$22,5,FALSE)</f>
        <v>-</v>
      </c>
      <c r="I34" s="3" t="str">
        <f>VLOOKUP(A34,'3-Sue'!$A$2:$F$22,6,FALSE)</f>
        <v>-</v>
      </c>
      <c r="J34" s="3">
        <f>VLOOKUP(A34,'3-Sue'!$A$1:$H$45,8,FALSE)</f>
        <v>0</v>
      </c>
    </row>
    <row r="35" spans="1:10" x14ac:dyDescent="0.35">
      <c r="A35" s="4" t="s">
        <v>718</v>
      </c>
      <c r="B35" s="4" t="s">
        <v>534</v>
      </c>
      <c r="C35" t="s">
        <v>339</v>
      </c>
      <c r="D35" s="3">
        <f>_xlfn.XLOOKUP(C35,'Territory List'!$D$2:$D$352,'Territory List'!$G$2:$G$352)</f>
        <v>3</v>
      </c>
      <c r="E35" s="10" t="str">
        <f>VLOOKUP(A35,'3-Sue'!$A$2:$F$22,3,FALSE)</f>
        <v>-</v>
      </c>
      <c r="F35" s="10">
        <f>VLOOKUP(A35,'3-Sue'!$A$1:$H$45,7,FALSE)</f>
        <v>0</v>
      </c>
      <c r="G35" s="3" t="str">
        <f>VLOOKUP(A35,'3-Sue'!$A$2:$F$22,4,FALSE)</f>
        <v>Meet with Trust Comm once year</v>
      </c>
      <c r="H35" s="3" t="str">
        <f>VLOOKUP(A35,'3-Sue'!$A$2:$F$22,5,FALSE)</f>
        <v>-</v>
      </c>
      <c r="I35" s="3" t="str">
        <f>VLOOKUP(A35,'3-Sue'!$A$2:$F$22,6,FALSE)</f>
        <v>-</v>
      </c>
      <c r="J35" s="3">
        <f>VLOOKUP(A35,'3-Sue'!$A$1:$H$45,8,FALSE)</f>
        <v>0</v>
      </c>
    </row>
    <row r="36" spans="1:10" x14ac:dyDescent="0.35">
      <c r="A36" s="4" t="s">
        <v>587</v>
      </c>
      <c r="B36" s="4" t="s">
        <v>534</v>
      </c>
      <c r="C36" t="s">
        <v>339</v>
      </c>
      <c r="D36" s="3">
        <f>_xlfn.XLOOKUP(C36,'Territory List'!$D$2:$D$352,'Territory List'!$G$2:$G$352)</f>
        <v>3</v>
      </c>
      <c r="E36" s="10" t="str">
        <f>VLOOKUP(A36,'3-Sue'!$A$2:$F$22,3,FALSE)</f>
        <v>5/4 @ 3pm virtual</v>
      </c>
      <c r="F36" s="10">
        <f>VLOOKUP(A36,'3-Sue'!$A$1:$H$45,7,FALSE)</f>
        <v>0</v>
      </c>
      <c r="G36" s="3" t="str">
        <f>VLOOKUP(A36,'3-Sue'!$A$2:$F$22,4,FALSE)</f>
        <v>-</v>
      </c>
      <c r="H36" s="3" t="str">
        <f>VLOOKUP(A36,'3-Sue'!$A$2:$F$22,5,FALSE)</f>
        <v>-</v>
      </c>
      <c r="I36" s="3" t="str">
        <f>VLOOKUP(A36,'3-Sue'!$A$2:$F$22,6,FALSE)</f>
        <v>2 advisors</v>
      </c>
      <c r="J36" s="3">
        <f>VLOOKUP(A36,'3-Sue'!$A$1:$H$45,8,FALSE)</f>
        <v>0</v>
      </c>
    </row>
    <row r="37" spans="1:10" x14ac:dyDescent="0.35">
      <c r="A37" s="4" t="s">
        <v>583</v>
      </c>
      <c r="B37" s="4" t="s">
        <v>584</v>
      </c>
      <c r="C37" t="s">
        <v>329</v>
      </c>
      <c r="D37" s="3">
        <f>_xlfn.XLOOKUP(C37,'Territory List'!$D$2:$D$352,'Territory List'!$G$2:$G$352)</f>
        <v>3</v>
      </c>
      <c r="E37" s="10" t="str">
        <f>VLOOKUP(A37,'3-Sue'!$A$2:$F$22,3,FALSE)</f>
        <v>5/19 @ 9:30</v>
      </c>
      <c r="F37" s="10" t="str">
        <f>VLOOKUP(A37,'3-Sue'!$A$1:$H$45,7,FALSE)</f>
        <v>9/15 @ 10am</v>
      </c>
      <c r="G37" s="3" t="str">
        <f>VLOOKUP(A37,'3-Sue'!$A$2:$F$22,4,FALSE)</f>
        <v>-</v>
      </c>
      <c r="H37" s="3" t="str">
        <f>VLOOKUP(A37,'3-Sue'!$A$2:$F$22,5,FALSE)</f>
        <v>-</v>
      </c>
      <c r="I37" s="3" t="str">
        <f>VLOOKUP(A37,'3-Sue'!$A$2:$F$22,6,FALSE)</f>
        <v>-</v>
      </c>
      <c r="J37" s="3">
        <f>VLOOKUP(A37,'3-Sue'!$A$1:$H$45,8,FALSE)</f>
        <v>0</v>
      </c>
    </row>
    <row r="38" spans="1:10" x14ac:dyDescent="0.35">
      <c r="A38" s="4" t="s">
        <v>568</v>
      </c>
      <c r="B38" s="4" t="s">
        <v>569</v>
      </c>
      <c r="C38" t="s">
        <v>328</v>
      </c>
      <c r="D38" s="3">
        <f>_xlfn.XLOOKUP(C38,'Territory List'!$D$2:$D$352,'Territory List'!$G$2:$G$352)</f>
        <v>3</v>
      </c>
      <c r="E38" s="10" t="str">
        <f>VLOOKUP(A38,'3-Sue'!$A$2:$F$22,3,FALSE)</f>
        <v>Sent material</v>
      </c>
      <c r="F38" s="10">
        <f>VLOOKUP(A38,'3-Sue'!$A$1:$H$45,7,FALSE)</f>
        <v>0</v>
      </c>
      <c r="G38" s="3" t="str">
        <f>VLOOKUP(A38,'3-Sue'!$A$2:$F$22,4,FALSE)</f>
        <v>-</v>
      </c>
      <c r="H38" s="3" t="str">
        <f>VLOOKUP(A38,'3-Sue'!$A$2:$F$22,5,FALSE)</f>
        <v>-</v>
      </c>
      <c r="I38" s="3" t="str">
        <f>VLOOKUP(A38,'3-Sue'!$A$2:$F$22,6,FALSE)</f>
        <v>-</v>
      </c>
      <c r="J38" s="3">
        <f>VLOOKUP(A38,'3-Sue'!$A$1:$H$45,8,FALSE)</f>
        <v>0</v>
      </c>
    </row>
    <row r="39" spans="1:10" x14ac:dyDescent="0.35">
      <c r="A39" s="4" t="s">
        <v>543</v>
      </c>
      <c r="B39" s="4" t="s">
        <v>534</v>
      </c>
      <c r="C39" t="s">
        <v>339</v>
      </c>
      <c r="D39" s="3">
        <f>_xlfn.XLOOKUP(C39,'Territory List'!$D$2:$D$352,'Territory List'!$G$2:$G$352)</f>
        <v>3</v>
      </c>
      <c r="E39" s="10" t="str">
        <f>VLOOKUP(A39,'3-Sue'!$A$2:$F$22,3,FALSE)</f>
        <v>-</v>
      </c>
      <c r="F39" s="10">
        <f>VLOOKUP(A39,'3-Sue'!$A$1:$H$45,7,FALSE)</f>
        <v>0</v>
      </c>
      <c r="G39" s="3" t="str">
        <f>VLOOKUP(A39,'3-Sue'!$A$2:$F$22,4,FALSE)</f>
        <v>No Acct. rpt./Meet annually</v>
      </c>
      <c r="H39" s="3">
        <f>VLOOKUP(A39,'3-Sue'!$A$2:$F$22,5,FALSE)</f>
        <v>14</v>
      </c>
      <c r="I39" s="3" t="str">
        <f>VLOOKUP(A39,'3-Sue'!$A$2:$F$22,6,FALSE)</f>
        <v>2 advisors</v>
      </c>
      <c r="J39" s="3">
        <f>VLOOKUP(A39,'3-Sue'!$A$1:$H$45,8,FALSE)</f>
        <v>0</v>
      </c>
    </row>
    <row r="40" spans="1:10" x14ac:dyDescent="0.35">
      <c r="A40" s="4" t="s">
        <v>533</v>
      </c>
      <c r="B40" s="4" t="s">
        <v>534</v>
      </c>
      <c r="C40" t="s">
        <v>339</v>
      </c>
      <c r="D40" s="3">
        <f>_xlfn.XLOOKUP(C40,'Territory List'!$D$2:$D$352,'Territory List'!$G$2:$G$352)</f>
        <v>3</v>
      </c>
      <c r="E40" s="10">
        <f>VLOOKUP(A40,'3-Sue'!$A$2:$F$22,3,FALSE)</f>
        <v>46076</v>
      </c>
      <c r="F40" s="10">
        <f>VLOOKUP(A40,'3-Sue'!$A$1:$H$45,7,FALSE)</f>
        <v>0</v>
      </c>
      <c r="G40" s="3" t="str">
        <f>VLOOKUP(A40,'3-Sue'!$A$2:$F$22,4,FALSE)</f>
        <v>-</v>
      </c>
      <c r="H40" s="3">
        <f>VLOOKUP(A40,'3-Sue'!$A$2:$F$22,5,FALSE)</f>
        <v>13</v>
      </c>
      <c r="I40" s="3" t="str">
        <f>VLOOKUP(A40,'3-Sue'!$A$2:$F$22,6,FALSE)</f>
        <v>Kathleen</v>
      </c>
      <c r="J40" s="3">
        <f>VLOOKUP(A40,'3-Sue'!$A$1:$H$45,8,FALSE)</f>
        <v>0</v>
      </c>
    </row>
    <row r="41" spans="1:10" x14ac:dyDescent="0.35">
      <c r="A41" s="4" t="s">
        <v>506</v>
      </c>
      <c r="B41" s="4" t="s">
        <v>507</v>
      </c>
      <c r="C41" t="s">
        <v>323</v>
      </c>
      <c r="D41" s="3">
        <f>_xlfn.XLOOKUP(C41,'Territory List'!$D$2:$D$352,'Territory List'!$G$2:$G$352)</f>
        <v>3</v>
      </c>
      <c r="E41" s="10" t="str">
        <f>VLOOKUP(A41,'3-Sue'!$A$2:$F$22,3,FALSE)</f>
        <v>4/30 @ 1pm</v>
      </c>
      <c r="F41" s="10" t="str">
        <f>VLOOKUP(A41,'3-Sue'!$A$1:$H$45,7,FALSE)</f>
        <v>9/15 @ 2pm</v>
      </c>
      <c r="G41" s="3" t="str">
        <f>VLOOKUP(A41,'3-Sue'!$A$2:$F$22,4,FALSE)</f>
        <v>-</v>
      </c>
      <c r="H41" s="3" t="str">
        <f>VLOOKUP(A41,'3-Sue'!$A$2:$F$22,5,FALSE)</f>
        <v>-</v>
      </c>
      <c r="I41" s="3" t="str">
        <f>VLOOKUP(A41,'3-Sue'!$A$2:$F$22,6,FALSE)</f>
        <v>-</v>
      </c>
      <c r="J41" s="3">
        <f>VLOOKUP(A41,'3-Sue'!$A$1:$H$45,8,FALSE)</f>
        <v>0</v>
      </c>
    </row>
    <row r="42" spans="1:10" x14ac:dyDescent="0.35">
      <c r="A42" s="4" t="s">
        <v>467</v>
      </c>
      <c r="B42" s="4" t="s">
        <v>468</v>
      </c>
      <c r="C42" t="s">
        <v>319</v>
      </c>
      <c r="D42" s="3">
        <f>_xlfn.XLOOKUP(C42,'Territory List'!$D$2:$D$352,'Territory List'!$G$2:$G$352)</f>
        <v>3</v>
      </c>
      <c r="E42" s="10" t="str">
        <f>VLOOKUP(A42,'3-Sue'!$A$2:$F$22,3,FALSE)</f>
        <v>4/30 @ 9am</v>
      </c>
      <c r="F42" s="10">
        <f>VLOOKUP(A42,'3-Sue'!$A$1:$H$45,7,FALSE)</f>
        <v>0</v>
      </c>
      <c r="G42" s="3" t="str">
        <f>VLOOKUP(A42,'3-Sue'!$A$2:$F$22,4,FALSE)</f>
        <v>make lunch</v>
      </c>
      <c r="H42" s="3" t="str">
        <f>VLOOKUP(A42,'3-Sue'!$A$2:$F$22,5,FALSE)</f>
        <v>-</v>
      </c>
      <c r="I42" s="3" t="str">
        <f>VLOOKUP(A42,'3-Sue'!$A$2:$F$22,6,FALSE)</f>
        <v>-</v>
      </c>
      <c r="J42" s="3">
        <f>VLOOKUP(A42,'3-Sue'!$A$1:$H$45,8,FALSE)</f>
        <v>0</v>
      </c>
    </row>
    <row r="43" spans="1:10" x14ac:dyDescent="0.35">
      <c r="A43" s="4" t="s">
        <v>465</v>
      </c>
      <c r="B43" s="4" t="s">
        <v>466</v>
      </c>
      <c r="C43" t="s">
        <v>318</v>
      </c>
      <c r="D43" s="3">
        <f>_xlfn.XLOOKUP(C43,'Territory List'!$D$2:$D$352,'Territory List'!$G$2:$G$352)</f>
        <v>3</v>
      </c>
      <c r="E43" s="10">
        <f>VLOOKUP(A43,'3-Sue'!$A$2:$F$22,3,FALSE)</f>
        <v>46168</v>
      </c>
      <c r="F43" s="10">
        <f>VLOOKUP(A43,'3-Sue'!$A$1:$H$45,7,FALSE)</f>
        <v>0</v>
      </c>
      <c r="G43" s="3" t="str">
        <f>VLOOKUP(A43,'3-Sue'!$A$2:$F$22,4,FALSE)</f>
        <v>-</v>
      </c>
      <c r="H43" s="3" t="str">
        <f>VLOOKUP(A43,'3-Sue'!$A$2:$F$22,5,FALSE)</f>
        <v>-</v>
      </c>
      <c r="I43" s="3" t="str">
        <f>VLOOKUP(A43,'3-Sue'!$A$2:$F$22,6,FALSE)</f>
        <v>-</v>
      </c>
      <c r="J43" s="3">
        <f>VLOOKUP(A43,'3-Sue'!$A$1:$H$45,8,FALSE)</f>
        <v>0</v>
      </c>
    </row>
    <row r="44" spans="1:10" x14ac:dyDescent="0.35">
      <c r="A44" s="4" t="s">
        <v>373</v>
      </c>
      <c r="B44" s="4" t="s">
        <v>374</v>
      </c>
      <c r="C44" t="s">
        <v>313</v>
      </c>
      <c r="D44" s="3">
        <f>_xlfn.XLOOKUP(C44,'Territory List'!$D$2:$D$352,'Territory List'!$G$2:$G$352)</f>
        <v>3</v>
      </c>
      <c r="E44" s="10" t="str">
        <f>VLOOKUP(A44,'3-Sue'!$A$2:$F$22,3,FALSE)</f>
        <v>3/20/26 @ 11:00 lunch</v>
      </c>
      <c r="F44" s="10">
        <f>VLOOKUP(A44,'3-Sue'!$A$1:$H$45,7,FALSE)</f>
        <v>0</v>
      </c>
      <c r="G44" s="3" t="str">
        <f>VLOOKUP(A44,'3-Sue'!$A$2:$F$22,4,FALSE)</f>
        <v>Maybe include Mayor at next review*</v>
      </c>
      <c r="H44" s="3">
        <f>VLOOKUP(A44,'3-Sue'!$A$2:$F$22,5,FALSE)</f>
        <v>3</v>
      </c>
      <c r="I44" s="3" t="str">
        <f>VLOOKUP(A44,'3-Sue'!$A$2:$F$22,6,FALSE)</f>
        <v>-</v>
      </c>
      <c r="J44" s="3">
        <f>VLOOKUP(A44,'3-Sue'!$A$1:$H$45,8,FALSE)</f>
        <v>0</v>
      </c>
    </row>
    <row r="45" spans="1:10" x14ac:dyDescent="0.35">
      <c r="A45" s="4" t="s">
        <v>816</v>
      </c>
      <c r="B45" s="4" t="s">
        <v>933</v>
      </c>
      <c r="C45" t="s">
        <v>322</v>
      </c>
      <c r="D45" s="3">
        <v>3</v>
      </c>
      <c r="E45" s="10">
        <f>VLOOKUP(A45,'3-Sue'!$A$2:$F$21,3,FALSE)</f>
        <v>46035</v>
      </c>
      <c r="F45" s="10">
        <f>VLOOKUP(A45,'3-Sue'!$A$1:$H$40,7,FALSE)</f>
        <v>0</v>
      </c>
      <c r="G45" s="3" t="str">
        <f>VLOOKUP(A45,'3-Sue'!$A$2:$F$21,4,FALSE)</f>
        <v>-</v>
      </c>
      <c r="H45" s="3" t="str">
        <f>VLOOKUP(A45,'3-Sue'!$A$2:$F$21,5,FALSE)</f>
        <v>-</v>
      </c>
      <c r="I45" s="3" t="str">
        <f>VLOOKUP(A45,'3-Sue'!$A$2:$F$21,6,FALSE)</f>
        <v>-</v>
      </c>
      <c r="J45" s="3">
        <f>VLOOKUP(A45,'3-Sue'!$A$1:$H$40,8,FALSE)</f>
        <v>0</v>
      </c>
    </row>
    <row r="46" spans="1:10" x14ac:dyDescent="0.35">
      <c r="A46" s="4" t="s">
        <v>545</v>
      </c>
      <c r="B46" s="4" t="s">
        <v>933</v>
      </c>
      <c r="C46" t="s">
        <v>322</v>
      </c>
      <c r="D46" s="3">
        <v>3</v>
      </c>
      <c r="E46" s="10">
        <f>VLOOKUP(A46,'3-Sue'!$A$2:$F$21,3,FALSE)</f>
        <v>46030</v>
      </c>
      <c r="F46" s="10">
        <f>VLOOKUP(A46,'3-Sue'!$A$1:$H$40,7,FALSE)</f>
        <v>0</v>
      </c>
      <c r="G46" s="3" t="str">
        <f>VLOOKUP(A46,'3-Sue'!$A$2:$F$21,4,FALSE)</f>
        <v>-</v>
      </c>
      <c r="H46" s="3" t="str">
        <f>VLOOKUP(A46,'3-Sue'!$A$2:$F$21,5,FALSE)</f>
        <v>-</v>
      </c>
      <c r="I46" s="3" t="str">
        <f>VLOOKUP(A46,'3-Sue'!$A$2:$F$21,6,FALSE)</f>
        <v>-</v>
      </c>
      <c r="J46" s="3">
        <f>VLOOKUP(A46,'3-Sue'!$A$1:$H$40,8,FALSE)</f>
        <v>0</v>
      </c>
    </row>
    <row r="47" spans="1:10" x14ac:dyDescent="0.35">
      <c r="A47" s="4" t="s">
        <v>487</v>
      </c>
      <c r="B47" s="4" t="s">
        <v>933</v>
      </c>
      <c r="C47" t="s">
        <v>322</v>
      </c>
      <c r="D47" s="3">
        <v>3</v>
      </c>
      <c r="E47" s="10">
        <f>VLOOKUP(A47,'3-Sue'!$A$2:$F$21,3,FALSE)</f>
        <v>46035</v>
      </c>
      <c r="F47" s="10">
        <f>VLOOKUP(A47,'3-Sue'!$A$1:$H$40,7,FALSE)</f>
        <v>0</v>
      </c>
      <c r="G47" s="3">
        <f>VLOOKUP(A47,'3-Sue'!$A$2:$F$21,4,FALSE)</f>
        <v>0</v>
      </c>
      <c r="H47" s="3">
        <f>VLOOKUP(A47,'3-Sue'!$A$2:$F$21,5,FALSE)</f>
        <v>3</v>
      </c>
      <c r="I47" s="3" t="str">
        <f>VLOOKUP(A47,'3-Sue'!$A$2:$F$21,6,FALSE)</f>
        <v>-</v>
      </c>
      <c r="J47" s="3">
        <f>VLOOKUP(A47,'3-Sue'!$A$1:$H$40,8,FALSE)</f>
        <v>0</v>
      </c>
    </row>
    <row r="48" spans="1:10" x14ac:dyDescent="0.35">
      <c r="A48" s="4" t="s">
        <v>886</v>
      </c>
      <c r="B48" s="4" t="s">
        <v>887</v>
      </c>
      <c r="C48" t="s">
        <v>350</v>
      </c>
      <c r="D48" s="3">
        <f>_xlfn.XLOOKUP(C48,'Territory List'!$D$2:$D$352,'Territory List'!$G$2:$G$352)</f>
        <v>4</v>
      </c>
      <c r="E48" s="10" t="str">
        <f>VLOOKUP(A48,'4-Sue'!$A$2:$F$21,3,FALSE)</f>
        <v>4/21 @10am</v>
      </c>
      <c r="F48" s="10" t="str">
        <f>VLOOKUP(A48,'4-Sue'!$A$1:$H$40,7,FALSE)</f>
        <v>10/13 @ 12</v>
      </c>
      <c r="G48" s="3" t="str">
        <f>VLOOKUP(A48,'4-Sue'!$A$2:$F$21,4,FALSE)</f>
        <v>Wed &amp; Thurs Hours only 9-4pm</v>
      </c>
      <c r="H48" s="3">
        <f>VLOOKUP(A48,'4-Sue'!$A$2:$F$21,5,FALSE)</f>
        <v>3</v>
      </c>
      <c r="I48" s="3" t="str">
        <f>VLOOKUP(A48,'4-Sue'!$A$2:$F$21,6,FALSE)</f>
        <v>-</v>
      </c>
      <c r="J48" s="3">
        <f>VLOOKUP(A48,'4-Sue'!$A$1:$H$40,8,FALSE)</f>
        <v>0</v>
      </c>
    </row>
    <row r="49" spans="1:10" x14ac:dyDescent="0.35">
      <c r="A49" s="4" t="s">
        <v>809</v>
      </c>
      <c r="B49" s="4" t="s">
        <v>810</v>
      </c>
      <c r="C49" t="s">
        <v>344</v>
      </c>
      <c r="D49" s="3">
        <f>_xlfn.XLOOKUP(C49,'Territory List'!$D$2:$D$352,'Territory List'!$G$2:$G$352)</f>
        <v>4</v>
      </c>
      <c r="E49" s="10" t="str">
        <f>VLOOKUP(A49,'4-Sue'!$A$2:$F$21,3,FALSE)</f>
        <v>4/21 @ 10am</v>
      </c>
      <c r="F49" s="10" t="str">
        <f>VLOOKUP(A49,'4-Sue'!$A$1:$H$40,7,FALSE)</f>
        <v>10/13 @ 12pm</v>
      </c>
      <c r="G49" s="3" t="str">
        <f>VLOOKUP(A49,'4-Sue'!$A$2:$F$21,4,FALSE)</f>
        <v>-</v>
      </c>
      <c r="H49" s="3" t="str">
        <f>VLOOKUP(A49,'4-Sue'!$A$2:$F$21,5,FALSE)</f>
        <v>-</v>
      </c>
      <c r="I49" s="3" t="str">
        <f>VLOOKUP(A49,'4-Sue'!$A$2:$F$21,6,FALSE)</f>
        <v>-</v>
      </c>
      <c r="J49" s="3">
        <f>VLOOKUP(A49,'4-Sue'!$A$1:$H$40,8,FALSE)</f>
        <v>0</v>
      </c>
    </row>
    <row r="50" spans="1:10" x14ac:dyDescent="0.35">
      <c r="A50" s="4" t="s">
        <v>802</v>
      </c>
      <c r="B50" s="4" t="s">
        <v>964</v>
      </c>
      <c r="C50" t="s">
        <v>343</v>
      </c>
      <c r="D50" s="3">
        <f>_xlfn.XLOOKUP(C50,'Territory List'!$D$2:$D$352,'Territory List'!$G$2:$G$352)</f>
        <v>4</v>
      </c>
      <c r="E50" s="10" t="str">
        <f>VLOOKUP(A50,'4-Sue'!$A$2:$F$21,3,FALSE)</f>
        <v>4/29 @ 11am</v>
      </c>
      <c r="F50" s="10">
        <f>VLOOKUP(A50,'4-Sue'!$A$1:$H$40,7,FALSE)</f>
        <v>0</v>
      </c>
      <c r="G50" s="3" t="str">
        <f>VLOOKUP(A50,'4-Sue'!$A$2:$F$21,4,FALSE)</f>
        <v>-</v>
      </c>
      <c r="H50" s="3" t="str">
        <f>VLOOKUP(A50,'4-Sue'!$A$2:$F$21,5,FALSE)</f>
        <v>-</v>
      </c>
      <c r="I50" s="3" t="str">
        <f>VLOOKUP(A50,'4-Sue'!$A$2:$F$21,6,FALSE)</f>
        <v>-</v>
      </c>
      <c r="J50" s="3">
        <f>VLOOKUP(A50,'4-Sue'!$A$1:$H$40,8,FALSE)</f>
        <v>0</v>
      </c>
    </row>
    <row r="51" spans="1:10" x14ac:dyDescent="0.35">
      <c r="A51" s="4" t="s">
        <v>769</v>
      </c>
      <c r="B51" s="4" t="s">
        <v>733</v>
      </c>
      <c r="C51" t="s">
        <v>341</v>
      </c>
      <c r="D51" s="3">
        <f>_xlfn.XLOOKUP(C51,'Territory List'!$D$2:$D$352,'Territory List'!$G$2:$G$352)</f>
        <v>4</v>
      </c>
      <c r="E51" s="10" t="str">
        <f>VLOOKUP(A51,'4-Sue'!$A$2:$F$21,3,FALSE)</f>
        <v>4/23 @11:30</v>
      </c>
      <c r="F51" s="10">
        <f>VLOOKUP(A51,'4-Sue'!$A$1:$H$40,7,FALSE)</f>
        <v>0</v>
      </c>
      <c r="G51" s="3" t="str">
        <f>VLOOKUP(A51,'4-Sue'!$A$2:$F$21,4,FALSE)</f>
        <v>-</v>
      </c>
      <c r="H51" s="3" t="str">
        <f>VLOOKUP(A51,'4-Sue'!$A$2:$F$21,5,FALSE)</f>
        <v>-</v>
      </c>
      <c r="I51" s="3" t="str">
        <f>VLOOKUP(A51,'4-Sue'!$A$2:$F$21,6,FALSE)</f>
        <v>-</v>
      </c>
      <c r="J51" s="3">
        <f>VLOOKUP(A51,'4-Sue'!$A$1:$H$40,8,FALSE)</f>
        <v>0</v>
      </c>
    </row>
    <row r="52" spans="1:10" x14ac:dyDescent="0.35">
      <c r="A52" s="4" t="s">
        <v>745</v>
      </c>
      <c r="B52" s="4" t="s">
        <v>746</v>
      </c>
      <c r="C52" t="s">
        <v>342</v>
      </c>
      <c r="D52" s="3">
        <f>_xlfn.XLOOKUP(C52,'Territory List'!$D$2:$D$352,'Territory List'!$G$2:$G$352)</f>
        <v>4</v>
      </c>
      <c r="E52" s="10" t="str">
        <f>VLOOKUP(A52,'4-Sue'!$A$2:$F$21,3,FALSE)</f>
        <v>No T/C</v>
      </c>
      <c r="F52" s="10">
        <f>VLOOKUP(A52,'4-Sue'!$A$1:$H$40,7,FALSE)</f>
        <v>0</v>
      </c>
      <c r="G52" s="3" t="str">
        <f>VLOOKUP(A52,'4-Sue'!$A$2:$F$21,4,FALSE)</f>
        <v>-</v>
      </c>
      <c r="H52" s="3" t="str">
        <f>VLOOKUP(A52,'4-Sue'!$A$2:$F$21,5,FALSE)</f>
        <v>-</v>
      </c>
      <c r="I52" s="3" t="str">
        <f>VLOOKUP(A52,'4-Sue'!$A$2:$F$21,6,FALSE)</f>
        <v>-</v>
      </c>
      <c r="J52" s="3">
        <f>VLOOKUP(A52,'4-Sue'!$A$1:$H$40,8,FALSE)</f>
        <v>0</v>
      </c>
    </row>
    <row r="53" spans="1:10" x14ac:dyDescent="0.35">
      <c r="A53" s="4" t="s">
        <v>732</v>
      </c>
      <c r="B53" s="4" t="s">
        <v>733</v>
      </c>
      <c r="C53" t="s">
        <v>341</v>
      </c>
      <c r="D53" s="3">
        <f>_xlfn.XLOOKUP(C53,'Territory List'!$D$2:$D$352,'Territory List'!$G$2:$G$352)</f>
        <v>4</v>
      </c>
      <c r="E53" s="10" t="str">
        <f>VLOOKUP(A53,'4-Sue'!$A$2:$F$21,3,FALSE)</f>
        <v>4/21 @ 10am</v>
      </c>
      <c r="F53" s="10" t="str">
        <f>VLOOKUP(A53,'4-Sue'!$A$1:$H$40,7,FALSE)</f>
        <v>10/13 @ 12pm</v>
      </c>
      <c r="G53" s="3">
        <f>VLOOKUP(A53,'4-Sue'!$A$2:$F$21,4,FALSE)</f>
        <v>0</v>
      </c>
      <c r="H53" s="3">
        <f>VLOOKUP(A53,'4-Sue'!$A$2:$F$21,5,FALSE)</f>
        <v>3</v>
      </c>
      <c r="I53" s="3" t="str">
        <f>VLOOKUP(A53,'4-Sue'!$A$2:$F$21,6,FALSE)</f>
        <v>-</v>
      </c>
      <c r="J53" s="3">
        <f>VLOOKUP(A53,'4-Sue'!$A$1:$H$40,8,FALSE)</f>
        <v>0</v>
      </c>
    </row>
    <row r="54" spans="1:10" x14ac:dyDescent="0.35">
      <c r="A54" s="4" t="s">
        <v>721</v>
      </c>
      <c r="B54" s="4" t="s">
        <v>722</v>
      </c>
      <c r="C54" t="s">
        <v>340</v>
      </c>
      <c r="D54" s="3">
        <f>_xlfn.XLOOKUP(C54,'Territory List'!$D$2:$D$352,'Territory List'!$G$2:$G$352)</f>
        <v>4</v>
      </c>
      <c r="E54" s="10">
        <f>VLOOKUP(A54,'4-Sue'!$A$2:$F$21,3,FALSE)</f>
        <v>46077</v>
      </c>
      <c r="F54" s="10">
        <f>VLOOKUP(A54,'4-Sue'!$A$1:$H$40,7,FALSE)</f>
        <v>0</v>
      </c>
      <c r="G54" s="3" t="str">
        <f>VLOOKUP(A54,'4-Sue'!$A$2:$F$21,4,FALSE)</f>
        <v>-</v>
      </c>
      <c r="H54" s="3" t="str">
        <f>VLOOKUP(A54,'4-Sue'!$A$2:$F$21,5,FALSE)</f>
        <v>-</v>
      </c>
      <c r="I54" s="3" t="str">
        <f>VLOOKUP(A54,'4-Sue'!$A$2:$F$21,6,FALSE)</f>
        <v>-</v>
      </c>
      <c r="J54" s="3">
        <f>VLOOKUP(A54,'4-Sue'!$A$1:$H$40,8,FALSE)</f>
        <v>0</v>
      </c>
    </row>
    <row r="55" spans="1:10" x14ac:dyDescent="0.35">
      <c r="A55" s="4" t="s">
        <v>702</v>
      </c>
      <c r="B55" s="4" t="s">
        <v>703</v>
      </c>
      <c r="C55" t="s">
        <v>338</v>
      </c>
      <c r="D55" s="3">
        <f>_xlfn.XLOOKUP(C55,'Territory List'!$D$2:$D$352,'Territory List'!$G$2:$G$352)</f>
        <v>4</v>
      </c>
      <c r="E55" s="10" t="str">
        <f>VLOOKUP(A55,'4-Sue'!$A$2:$F$21,3,FALSE)</f>
        <v>4/23 @ 9:15 am</v>
      </c>
      <c r="F55" s="10">
        <f>VLOOKUP(A55,'4-Sue'!$A$1:$H$40,7,FALSE)</f>
        <v>0</v>
      </c>
      <c r="G55" s="3" t="str">
        <f>VLOOKUP(A55,'4-Sue'!$A$2:$F$21,4,FALSE)</f>
        <v>-</v>
      </c>
      <c r="H55" s="3">
        <f>VLOOKUP(A55,'4-Sue'!$A$2:$F$21,5,FALSE)</f>
        <v>1</v>
      </c>
      <c r="I55" s="3" t="str">
        <f>VLOOKUP(A55,'4-Sue'!$A$2:$F$21,6,FALSE)</f>
        <v>-</v>
      </c>
      <c r="J55" s="3">
        <f>VLOOKUP(A55,'4-Sue'!$A$1:$H$40,8,FALSE)</f>
        <v>0</v>
      </c>
    </row>
    <row r="56" spans="1:10" x14ac:dyDescent="0.35">
      <c r="A56" s="4" t="s">
        <v>691</v>
      </c>
      <c r="B56" s="4" t="s">
        <v>954</v>
      </c>
      <c r="C56" t="s">
        <v>336</v>
      </c>
      <c r="D56" s="3">
        <f>_xlfn.XLOOKUP(C56,'Territory List'!$D$2:$D$352,'Territory List'!$G$2:$G$352)</f>
        <v>4</v>
      </c>
      <c r="E56" s="10" t="str">
        <f>VLOOKUP(A56,'4-Sue'!$A$2:$F$21,3,FALSE)</f>
        <v>4/16 @ 10am</v>
      </c>
      <c r="F56" s="10">
        <f>VLOOKUP(A56,'4-Sue'!$A$1:$H$40,7,FALSE)</f>
        <v>0</v>
      </c>
      <c r="G56" s="3" t="str">
        <f>VLOOKUP(A56,'4-Sue'!$A$2:$F$21,4,FALSE)</f>
        <v>-</v>
      </c>
      <c r="H56" s="3" t="str">
        <f>VLOOKUP(A56,'4-Sue'!$A$2:$F$21,5,FALSE)</f>
        <v>-</v>
      </c>
      <c r="I56" s="3" t="str">
        <f>VLOOKUP(A56,'4-Sue'!$A$2:$F$21,6,FALSE)</f>
        <v>-</v>
      </c>
      <c r="J56" s="3">
        <f>VLOOKUP(A56,'4-Sue'!$A$1:$H$40,8,FALSE)</f>
        <v>0</v>
      </c>
    </row>
    <row r="57" spans="1:10" x14ac:dyDescent="0.35">
      <c r="A57" s="4" t="s">
        <v>688</v>
      </c>
      <c r="B57" s="4" t="s">
        <v>964</v>
      </c>
      <c r="C57" t="s">
        <v>343</v>
      </c>
      <c r="D57" s="3">
        <f>_xlfn.XLOOKUP(C57,'Territory List'!$D$2:$D$352,'Territory List'!$G$2:$G$352)</f>
        <v>4</v>
      </c>
      <c r="E57" s="10">
        <f>VLOOKUP(A57,'4-Sue'!$A$2:$F$21,3,FALSE)</f>
        <v>46092</v>
      </c>
      <c r="F57" s="10">
        <f>VLOOKUP(A57,'4-Sue'!$A$1:$H$40,7,FALSE)</f>
        <v>0</v>
      </c>
      <c r="G57" s="3" t="str">
        <f>VLOOKUP(A57,'4-Sue'!$A$2:$F$21,4,FALSE)</f>
        <v>Annual March School Committee/Neilman Scholarship</v>
      </c>
      <c r="H57" s="3">
        <f>VLOOKUP(A57,'4-Sue'!$A$2:$F$21,5,FALSE)</f>
        <v>20</v>
      </c>
      <c r="I57" s="3" t="str">
        <f>VLOOKUP(A57,'4-Sue'!$A$2:$F$21,6,FALSE)</f>
        <v>2 advisors</v>
      </c>
      <c r="J57" s="3">
        <f>VLOOKUP(A57,'4-Sue'!$A$1:$H$40,8,FALSE)</f>
        <v>0</v>
      </c>
    </row>
    <row r="58" spans="1:10" x14ac:dyDescent="0.35">
      <c r="A58" s="4" t="s">
        <v>625</v>
      </c>
      <c r="B58" s="4" t="s">
        <v>626</v>
      </c>
      <c r="C58" t="s">
        <v>333</v>
      </c>
      <c r="D58" s="3">
        <f>_xlfn.XLOOKUP(C58,'Territory List'!$D$2:$D$352,'Territory List'!$G$2:$G$352)</f>
        <v>4</v>
      </c>
      <c r="E58" s="10" t="str">
        <f>VLOOKUP(A58,'4-Sue'!$A$2:$F$21,3,FALSE)</f>
        <v>4/21 @10am</v>
      </c>
      <c r="F58" s="10" t="str">
        <f>VLOOKUP(A58,'4-Sue'!$A$1:$H$40,7,FALSE)</f>
        <v>10/13 @ 12pm</v>
      </c>
      <c r="G58" s="3" t="str">
        <f>VLOOKUP(A58,'4-Sue'!$A$2:$F$21,4,FALSE)</f>
        <v>-</v>
      </c>
      <c r="H58" s="3" t="str">
        <f>VLOOKUP(A58,'4-Sue'!$A$2:$F$21,5,FALSE)</f>
        <v>-</v>
      </c>
      <c r="I58" s="3" t="str">
        <f>VLOOKUP(A58,'4-Sue'!$A$2:$F$21,6,FALSE)</f>
        <v>-</v>
      </c>
      <c r="J58" s="3">
        <f>VLOOKUP(A58,'4-Sue'!$A$1:$H$40,8,FALSE)</f>
        <v>0</v>
      </c>
    </row>
    <row r="59" spans="1:10" x14ac:dyDescent="0.35">
      <c r="A59" s="4" t="s">
        <v>552</v>
      </c>
      <c r="B59" s="4" t="s">
        <v>954</v>
      </c>
      <c r="C59" t="s">
        <v>336</v>
      </c>
      <c r="D59" s="3">
        <f>_xlfn.XLOOKUP(C59,'Territory List'!$D$2:$D$352,'Territory List'!$G$2:$G$352)</f>
        <v>4</v>
      </c>
      <c r="E59" s="10" t="str">
        <f>VLOOKUP(A59,'4-Sue'!$A$2:$F$21,3,FALSE)</f>
        <v>4/21 @ 10am</v>
      </c>
      <c r="F59" s="10" t="str">
        <f>VLOOKUP(A59,'4-Sue'!$A$1:$H$40,7,FALSE)</f>
        <v>10/13 @ 12pm</v>
      </c>
      <c r="G59" s="3" t="str">
        <f>VLOOKUP(A59,'4-Sue'!$A$2:$F$21,4,FALSE)</f>
        <v>-</v>
      </c>
      <c r="H59" s="3" t="str">
        <f>VLOOKUP(A59,'4-Sue'!$A$2:$F$21,5,FALSE)</f>
        <v>-</v>
      </c>
      <c r="I59" s="3" t="str">
        <f>VLOOKUP(A59,'4-Sue'!$A$2:$F$21,6,FALSE)</f>
        <v>-</v>
      </c>
      <c r="J59" s="3">
        <f>VLOOKUP(A59,'4-Sue'!$A$1:$H$40,8,FALSE)</f>
        <v>0</v>
      </c>
    </row>
    <row r="60" spans="1:10" x14ac:dyDescent="0.35">
      <c r="A60" s="4" t="s">
        <v>550</v>
      </c>
      <c r="B60" s="4" t="s">
        <v>551</v>
      </c>
      <c r="C60" t="s">
        <v>325</v>
      </c>
      <c r="D60" s="3">
        <f>_xlfn.XLOOKUP(C60,'Territory List'!$D$2:$D$352,'Territory List'!$G$2:$G$352)</f>
        <v>4</v>
      </c>
      <c r="E60" s="10" t="str">
        <f>VLOOKUP(A60,'4-Sue'!$A$2:$F$21,3,FALSE)</f>
        <v>3/25/26 @ 3:00</v>
      </c>
      <c r="F60" s="10">
        <f>VLOOKUP(A60,'4-Sue'!$A$1:$H$40,7,FALSE)</f>
        <v>0</v>
      </c>
      <c r="G60" s="3" t="str">
        <f>VLOOKUP(A60,'4-Sue'!$A$2:$F$21,4,FALSE)</f>
        <v>-</v>
      </c>
      <c r="H60" s="3" t="str">
        <f>VLOOKUP(A60,'4-Sue'!$A$2:$F$21,5,FALSE)</f>
        <v>-</v>
      </c>
      <c r="I60" s="3" t="str">
        <f>VLOOKUP(A60,'4-Sue'!$A$2:$F$21,6,FALSE)</f>
        <v>-</v>
      </c>
      <c r="J60" s="3">
        <f>VLOOKUP(A60,'4-Sue'!$A$1:$H$40,8,FALSE)</f>
        <v>0</v>
      </c>
    </row>
    <row r="61" spans="1:10" x14ac:dyDescent="0.35">
      <c r="A61" s="4" t="s">
        <v>539</v>
      </c>
      <c r="B61" s="4" t="s">
        <v>954</v>
      </c>
      <c r="C61" t="s">
        <v>336</v>
      </c>
      <c r="D61" s="3">
        <f>_xlfn.XLOOKUP(C61,'Territory List'!$D$2:$D$352,'Territory List'!$G$2:$G$352)</f>
        <v>4</v>
      </c>
      <c r="E61" s="10" t="str">
        <f>VLOOKUP(A61,'4-Sue'!$A$2:$F$21,3,FALSE)</f>
        <v>4/16 @10am</v>
      </c>
      <c r="F61" s="10">
        <f>VLOOKUP(A61,'4-Sue'!$A$1:$H$40,7,FALSE)</f>
        <v>0</v>
      </c>
      <c r="G61" s="3" t="str">
        <f>VLOOKUP(A61,'4-Sue'!$A$2:$F$21,4,FALSE)</f>
        <v>-</v>
      </c>
      <c r="H61" s="3" t="str">
        <f>VLOOKUP(A61,'4-Sue'!$A$2:$F$21,5,FALSE)</f>
        <v>-</v>
      </c>
      <c r="I61" s="3" t="str">
        <f>VLOOKUP(A61,'4-Sue'!$A$2:$F$21,6,FALSE)</f>
        <v>-</v>
      </c>
      <c r="J61" s="3">
        <f>VLOOKUP(A61,'4-Sue'!$A$1:$H$40,8,FALSE)</f>
        <v>0</v>
      </c>
    </row>
    <row r="62" spans="1:10" x14ac:dyDescent="0.35">
      <c r="A62" s="4" t="s">
        <v>513</v>
      </c>
      <c r="B62" s="4" t="s">
        <v>514</v>
      </c>
      <c r="C62" t="s">
        <v>324</v>
      </c>
      <c r="D62" s="3">
        <f>_xlfn.XLOOKUP(C62,'Territory List'!$D$2:$D$352,'Territory List'!$G$2:$G$352)</f>
        <v>4</v>
      </c>
      <c r="E62" s="10" t="str">
        <f>VLOOKUP(A62,'4-Sue'!$A$2:$F$21,3,FALSE)</f>
        <v>-</v>
      </c>
      <c r="F62" s="10">
        <f>VLOOKUP(A62,'4-Sue'!$A$1:$H$40,7,FALSE)</f>
        <v>0</v>
      </c>
      <c r="G62" s="3">
        <f>VLOOKUP(A62,'4-Sue'!$A$2:$F$21,4,FALSE)</f>
        <v>0</v>
      </c>
      <c r="H62" s="3">
        <f>VLOOKUP(A62,'4-Sue'!$A$2:$F$21,5,FALSE)</f>
        <v>3</v>
      </c>
      <c r="I62" s="3" t="str">
        <f>VLOOKUP(A62,'4-Sue'!$A$2:$F$21,6,FALSE)</f>
        <v>-</v>
      </c>
      <c r="J62" s="3">
        <f>VLOOKUP(A62,'4-Sue'!$A$1:$H$40,8,FALSE)</f>
        <v>0</v>
      </c>
    </row>
    <row r="63" spans="1:10" x14ac:dyDescent="0.35">
      <c r="A63" s="4" t="s">
        <v>478</v>
      </c>
      <c r="B63" s="4" t="s">
        <v>479</v>
      </c>
      <c r="C63" t="s">
        <v>321</v>
      </c>
      <c r="D63" s="3">
        <f>_xlfn.XLOOKUP(C63,'Territory List'!$D$2:$D$352,'Territory List'!$G$2:$G$352)</f>
        <v>4</v>
      </c>
      <c r="E63" s="10">
        <f>VLOOKUP(A63,'4-Sue'!$A$2:$F$21,3,FALSE)</f>
        <v>46035</v>
      </c>
      <c r="F63" s="10">
        <f>VLOOKUP(A63,'4-Sue'!$A$1:$H$40,7,FALSE)</f>
        <v>0</v>
      </c>
      <c r="G63" s="3" t="str">
        <f>VLOOKUP(A63,'4-Sue'!$A$2:$F$21,4,FALSE)</f>
        <v>-</v>
      </c>
      <c r="H63" s="3" t="str">
        <f>VLOOKUP(A63,'4-Sue'!$A$2:$F$21,5,FALSE)</f>
        <v>-</v>
      </c>
      <c r="I63" s="3" t="str">
        <f>VLOOKUP(A63,'4-Sue'!$A$2:$F$21,6,FALSE)</f>
        <v>-</v>
      </c>
      <c r="J63" s="3">
        <f>VLOOKUP(A63,'4-Sue'!$A$1:$H$40,8,FALSE)</f>
        <v>0</v>
      </c>
    </row>
    <row r="64" spans="1:10" x14ac:dyDescent="0.35">
      <c r="A64" s="4" t="s">
        <v>475</v>
      </c>
      <c r="B64" s="4" t="s">
        <v>476</v>
      </c>
      <c r="C64" t="s">
        <v>320</v>
      </c>
      <c r="D64" s="3">
        <f>_xlfn.XLOOKUP(C64,'Territory List'!$D$2:$D$352,'Territory List'!$G$2:$G$352)</f>
        <v>4</v>
      </c>
      <c r="E64" s="10">
        <f>VLOOKUP(A64,'4-Sue'!$A$2:$F$21,3,FALSE)</f>
        <v>46071</v>
      </c>
      <c r="F64" s="10">
        <f>VLOOKUP(A64,'4-Sue'!$A$1:$H$40,7,FALSE)</f>
        <v>0</v>
      </c>
      <c r="G64" s="3" t="str">
        <f>VLOOKUP(A64,'4-Sue'!$A$2:$F$21,4,FALSE)</f>
        <v>-</v>
      </c>
      <c r="H64" s="3" t="str">
        <f>VLOOKUP(A64,'4-Sue'!$A$2:$F$21,5,FALSE)</f>
        <v>-</v>
      </c>
      <c r="I64" s="3" t="str">
        <f>VLOOKUP(A64,'4-Sue'!$A$2:$F$21,6,FALSE)</f>
        <v>-</v>
      </c>
      <c r="J64" s="3">
        <f>VLOOKUP(A64,'4-Sue'!$A$1:$H$40,8,FALSE)</f>
        <v>0</v>
      </c>
    </row>
    <row r="65" spans="1:10" x14ac:dyDescent="0.35">
      <c r="A65" s="4" t="s">
        <v>438</v>
      </c>
      <c r="B65" s="4" t="s">
        <v>963</v>
      </c>
      <c r="C65" t="s">
        <v>317</v>
      </c>
      <c r="D65" s="3">
        <f>_xlfn.XLOOKUP(C65,'Territory List'!$D$2:$D$352,'Territory List'!$G$2:$G$352)</f>
        <v>4</v>
      </c>
      <c r="E65" s="10" t="str">
        <f>VLOOKUP(A65,'4-Sue'!$A$2:$F$21,3,FALSE)</f>
        <v>4/29 @ 9am</v>
      </c>
      <c r="F65" s="10">
        <f>VLOOKUP(A65,'4-Sue'!$A$1:$H$40,7,FALSE)</f>
        <v>0</v>
      </c>
      <c r="G65" s="3" t="str">
        <f>VLOOKUP(A65,'4-Sue'!$A$2:$F$21,4,FALSE)</f>
        <v>-</v>
      </c>
      <c r="H65" s="3" t="str">
        <f>VLOOKUP(A65,'4-Sue'!$A$2:$F$21,5,FALSE)</f>
        <v>-</v>
      </c>
      <c r="I65" s="3" t="str">
        <f>VLOOKUP(A65,'4-Sue'!$A$2:$F$21,6,FALSE)</f>
        <v>-</v>
      </c>
      <c r="J65" s="3">
        <f>VLOOKUP(A65,'4-Sue'!$A$1:$H$40,8,FALSE)</f>
        <v>0</v>
      </c>
    </row>
    <row r="66" spans="1:10" x14ac:dyDescent="0.35">
      <c r="A66" s="4" t="s">
        <v>414</v>
      </c>
      <c r="B66" s="4" t="s">
        <v>415</v>
      </c>
      <c r="C66" t="s">
        <v>316</v>
      </c>
      <c r="D66" s="3">
        <f>_xlfn.XLOOKUP(C66,'Territory List'!$D$2:$D$352,'Territory List'!$G$2:$G$352)</f>
        <v>4</v>
      </c>
      <c r="E66" s="10" t="str">
        <f>VLOOKUP(A66,'4-Sue'!$A$2:$F$21,3,FALSE)</f>
        <v>4/28 @9:30am</v>
      </c>
      <c r="F66" s="10">
        <f>VLOOKUP(A66,'4-Sue'!$A$1:$H$40,7,FALSE)</f>
        <v>0</v>
      </c>
      <c r="G66" s="3" t="str">
        <f>VLOOKUP(A66,'4-Sue'!$A$2:$F$21,4,FALSE)</f>
        <v>-</v>
      </c>
      <c r="H66" s="3" t="str">
        <f>VLOOKUP(A66,'4-Sue'!$A$2:$F$21,5,FALSE)</f>
        <v>-</v>
      </c>
      <c r="I66" s="3" t="str">
        <f>VLOOKUP(A66,'4-Sue'!$A$2:$F$21,6,FALSE)</f>
        <v>-</v>
      </c>
      <c r="J66" s="3">
        <f>VLOOKUP(A66,'4-Sue'!$A$1:$H$40,8,FALSE)</f>
        <v>0</v>
      </c>
    </row>
    <row r="67" spans="1:10" x14ac:dyDescent="0.35">
      <c r="A67" s="4" t="s">
        <v>383</v>
      </c>
      <c r="B67" s="4" t="s">
        <v>384</v>
      </c>
      <c r="C67" t="s">
        <v>315</v>
      </c>
      <c r="D67" s="3">
        <f>_xlfn.XLOOKUP(C67,'Territory List'!$D$2:$D$352,'Territory List'!$G$2:$G$352)</f>
        <v>4</v>
      </c>
      <c r="E67" s="10" t="str">
        <f>VLOOKUP(A67,'4-Sue'!$A$2:$F$21,3,FALSE)</f>
        <v>4/29 @ 1pm</v>
      </c>
      <c r="F67" s="10">
        <f>VLOOKUP(A67,'4-Sue'!$A$1:$H$40,7,FALSE)</f>
        <v>0</v>
      </c>
      <c r="G67" s="3" t="str">
        <f>VLOOKUP(A67,'4-Sue'!$A$2:$F$21,4,FALSE)</f>
        <v>-</v>
      </c>
      <c r="H67" s="3">
        <f>VLOOKUP(A67,'4-Sue'!$A$2:$F$21,5,FALSE)</f>
        <v>3</v>
      </c>
      <c r="I67" s="3" t="str">
        <f>VLOOKUP(A67,'4-Sue'!$A$2:$F$21,6,FALSE)</f>
        <v>-</v>
      </c>
      <c r="J67" s="3">
        <f>VLOOKUP(A67,'4-Sue'!$A$1:$H$40,8,FALSE)</f>
        <v>0</v>
      </c>
    </row>
    <row r="68" spans="1:10" x14ac:dyDescent="0.35">
      <c r="A68" s="4" t="s">
        <v>920</v>
      </c>
      <c r="B68" s="4" t="s">
        <v>921</v>
      </c>
      <c r="C68" t="s">
        <v>139</v>
      </c>
      <c r="D68" s="3">
        <f>_xlfn.XLOOKUP(C68,'Territory List'!$D$2:$D$352,'Territory List'!$G$2:$G$352)</f>
        <v>5</v>
      </c>
      <c r="E68" s="10">
        <f>VLOOKUP(A68,'5-Brian'!$A$2:$F$26,3,FALSE)</f>
        <v>46176</v>
      </c>
      <c r="F68" s="10">
        <f>VLOOKUP(A68,'5-Brian'!$A$1:$H$36,7,FALSE)</f>
        <v>0</v>
      </c>
      <c r="G68" s="3" t="str">
        <f>VLOOKUP(A68,'5-Brian'!$A$2:$F$26,4,FALSE)</f>
        <v>-</v>
      </c>
      <c r="H68" s="3" t="str">
        <f>VLOOKUP(A68,'5-Brian'!$A$2:$F$26,5,FALSE)</f>
        <v>-</v>
      </c>
      <c r="I68" s="3" t="str">
        <f>VLOOKUP(A68,'5-Brian'!$A$2:$F$26,6,FALSE)</f>
        <v>-</v>
      </c>
      <c r="J68" s="3">
        <f>VLOOKUP(A68,'5-Brian'!$A$1:$H$40,8,FALSE)</f>
        <v>0</v>
      </c>
    </row>
    <row r="69" spans="1:10" x14ac:dyDescent="0.35">
      <c r="A69" s="4" t="s">
        <v>901</v>
      </c>
      <c r="B69" s="4" t="s">
        <v>902</v>
      </c>
      <c r="C69" t="s">
        <v>138</v>
      </c>
      <c r="D69" s="3">
        <f>_xlfn.XLOOKUP(C69,'Territory List'!$D$2:$D$352,'Territory List'!$G$2:$G$352)</f>
        <v>5</v>
      </c>
      <c r="E69" s="10">
        <f>VLOOKUP(A69,'5-Brian'!$A$2:$F$26,3,FALSE)</f>
        <v>46114</v>
      </c>
      <c r="F69" s="10" t="str">
        <f>VLOOKUP(A69,'5-Brian'!$A$1:$H$36,7,FALSE)</f>
        <v>9/16/26?</v>
      </c>
      <c r="G69" s="3" t="str">
        <f>VLOOKUP(A69,'5-Brian'!$A$2:$F$26,4,FALSE)</f>
        <v>-</v>
      </c>
      <c r="H69" s="3" t="str">
        <f>VLOOKUP(A69,'5-Brian'!$A$2:$F$26,5,FALSE)</f>
        <v>-</v>
      </c>
      <c r="I69" s="3" t="str">
        <f>VLOOKUP(A69,'5-Brian'!$A$2:$F$26,6,FALSE)</f>
        <v>-</v>
      </c>
      <c r="J69" s="3">
        <f>VLOOKUP(A69,'5-Brian'!$A$1:$H$40,8,FALSE)</f>
        <v>0</v>
      </c>
    </row>
    <row r="70" spans="1:10" x14ac:dyDescent="0.35">
      <c r="A70" s="4" t="s">
        <v>865</v>
      </c>
      <c r="B70" s="4" t="s">
        <v>714</v>
      </c>
      <c r="C70" t="s">
        <v>135</v>
      </c>
      <c r="D70" s="3">
        <f>_xlfn.XLOOKUP(C70,'Territory List'!$D$2:$D$352,'Territory List'!$G$2:$G$352)</f>
        <v>5</v>
      </c>
      <c r="E70" s="10">
        <f>VLOOKUP(A70,'5-Brian'!$A$2:$F$26,3,FALSE)</f>
        <v>46114</v>
      </c>
      <c r="F70" s="10">
        <f>VLOOKUP(A70,'5-Brian'!$A$1:$H$36,7,FALSE)</f>
        <v>46275</v>
      </c>
      <c r="G70" s="3" t="str">
        <f>VLOOKUP(A70,'5-Brian'!$A$2:$F$26,4,FALSE)</f>
        <v>-</v>
      </c>
      <c r="H70" s="3" t="str">
        <f>VLOOKUP(A70,'5-Brian'!$A$2:$F$26,5,FALSE)</f>
        <v>-</v>
      </c>
      <c r="I70" s="3" t="str">
        <f>VLOOKUP(A70,'5-Brian'!$A$2:$F$26,6,FALSE)</f>
        <v>-</v>
      </c>
      <c r="J70" s="3">
        <f>VLOOKUP(A70,'5-Brian'!$A$1:$H$40,8,FALSE)</f>
        <v>0</v>
      </c>
    </row>
    <row r="71" spans="1:10" x14ac:dyDescent="0.35">
      <c r="A71" s="4" t="s">
        <v>861</v>
      </c>
      <c r="B71" s="4" t="s">
        <v>937</v>
      </c>
      <c r="C71" t="s">
        <v>134</v>
      </c>
      <c r="D71" s="3">
        <f>_xlfn.XLOOKUP(C71,'Territory List'!$D$2:$D$352,'Territory List'!$G$2:$G$352)</f>
        <v>5</v>
      </c>
      <c r="E71" s="10">
        <f>VLOOKUP(A71,'5-Brian'!$A$2:$F$26,3,FALSE)</f>
        <v>46217</v>
      </c>
      <c r="F71" s="10">
        <f>VLOOKUP(A71,'5-Brian'!$A$1:$H$36,7,FALSE)</f>
        <v>0</v>
      </c>
      <c r="G71" s="3" t="str">
        <f>VLOOKUP(A71,'5-Brian'!$A$2:$F$26,4,FALSE)</f>
        <v>-</v>
      </c>
      <c r="H71" s="3" t="str">
        <f>VLOOKUP(A71,'5-Brian'!$A$2:$F$26,5,FALSE)</f>
        <v>-</v>
      </c>
      <c r="I71" s="3" t="str">
        <f>VLOOKUP(A71,'5-Brian'!$A$2:$F$26,6,FALSE)</f>
        <v>-</v>
      </c>
      <c r="J71" s="3">
        <f>VLOOKUP(A71,'5-Brian'!$A$1:$H$40,8,FALSE)</f>
        <v>0</v>
      </c>
    </row>
    <row r="72" spans="1:10" x14ac:dyDescent="0.35">
      <c r="A72" s="4" t="s">
        <v>805</v>
      </c>
      <c r="B72" s="4" t="s">
        <v>806</v>
      </c>
      <c r="C72" t="s">
        <v>130</v>
      </c>
      <c r="D72" s="3">
        <f>_xlfn.XLOOKUP(C72,'Territory List'!$D$2:$D$352,'Territory List'!$G$2:$G$352)</f>
        <v>5</v>
      </c>
      <c r="E72" s="10">
        <f>VLOOKUP(A72,'5-Brian'!$A$2:$F$26,3,FALSE)</f>
        <v>46114</v>
      </c>
      <c r="F72" s="10" t="str">
        <f>VLOOKUP(A72,'5-Brian'!$A$1:$H$36,7,FALSE)</f>
        <v>9/15/26?</v>
      </c>
      <c r="G72" s="3" t="str">
        <f>VLOOKUP(A72,'5-Brian'!$A$2:$F$26,4,FALSE)</f>
        <v>-</v>
      </c>
      <c r="H72" s="3" t="str">
        <f>VLOOKUP(A72,'5-Brian'!$A$2:$F$26,5,FALSE)</f>
        <v>-</v>
      </c>
      <c r="I72" s="3" t="str">
        <f>VLOOKUP(A72,'5-Brian'!$A$2:$F$26,6,FALSE)</f>
        <v>-</v>
      </c>
      <c r="J72" s="3">
        <f>VLOOKUP(A72,'5-Brian'!$A$1:$H$40,8,FALSE)</f>
        <v>0</v>
      </c>
    </row>
    <row r="73" spans="1:10" x14ac:dyDescent="0.35">
      <c r="A73" s="4" t="s">
        <v>788</v>
      </c>
      <c r="B73" s="4" t="s">
        <v>526</v>
      </c>
      <c r="C73" t="s">
        <v>298</v>
      </c>
      <c r="D73" s="3">
        <f>_xlfn.XLOOKUP(C73,'Territory List'!$D$2:$D$352,'Territory List'!$G$2:$G$352)</f>
        <v>5</v>
      </c>
      <c r="E73" s="10">
        <f>VLOOKUP(A73,'5-Brian'!$A$2:$F$26,3,FALSE)</f>
        <v>46139</v>
      </c>
      <c r="F73" s="10">
        <f>VLOOKUP(A73,'5-Brian'!$A$1:$H$36,7,FALSE)</f>
        <v>46274</v>
      </c>
      <c r="G73" s="3" t="str">
        <f>VLOOKUP(A73,'5-Brian'!$A$2:$F$26,4,FALSE)</f>
        <v>-</v>
      </c>
      <c r="H73" s="3" t="str">
        <f>VLOOKUP(A73,'5-Brian'!$A$2:$F$26,5,FALSE)</f>
        <v>-</v>
      </c>
      <c r="I73" s="3" t="str">
        <f>VLOOKUP(A73,'5-Brian'!$A$2:$F$26,6,FALSE)</f>
        <v>-</v>
      </c>
      <c r="J73" s="3">
        <f>VLOOKUP(A73,'5-Brian'!$A$1:$H$40,8,FALSE)</f>
        <v>0</v>
      </c>
    </row>
    <row r="74" spans="1:10" x14ac:dyDescent="0.35">
      <c r="A74" s="4" t="s">
        <v>787</v>
      </c>
      <c r="B74" s="4" t="s">
        <v>526</v>
      </c>
      <c r="C74" t="s">
        <v>298</v>
      </c>
      <c r="D74" s="3">
        <f>_xlfn.XLOOKUP(C74,'Territory List'!$D$2:$D$352,'Territory List'!$G$2:$G$352)</f>
        <v>5</v>
      </c>
      <c r="E74" s="10">
        <f>VLOOKUP(A74,'5-Brian'!$A$2:$F$26,3,FALSE)</f>
        <v>0</v>
      </c>
      <c r="F74" s="10">
        <f>VLOOKUP(A74,'5-Brian'!$A$1:$H$36,7,FALSE)</f>
        <v>0</v>
      </c>
      <c r="G74" s="3" t="str">
        <f>VLOOKUP(A74,'5-Brian'!$A$2:$F$26,4,FALSE)</f>
        <v>no contact, emailed performace reports</v>
      </c>
      <c r="H74" s="3" t="str">
        <f>VLOOKUP(A74,'5-Brian'!$A$2:$F$26,5,FALSE)</f>
        <v>-</v>
      </c>
      <c r="I74" s="3" t="str">
        <f>VLOOKUP(A74,'5-Brian'!$A$2:$F$26,6,FALSE)</f>
        <v>-</v>
      </c>
      <c r="J74" s="3">
        <f>VLOOKUP(A74,'5-Brian'!$A$1:$H$40,8,FALSE)</f>
        <v>0</v>
      </c>
    </row>
    <row r="75" spans="1:10" x14ac:dyDescent="0.35">
      <c r="A75" s="4" t="s">
        <v>762</v>
      </c>
      <c r="B75" s="4" t="s">
        <v>763</v>
      </c>
      <c r="C75" t="s">
        <v>128</v>
      </c>
      <c r="D75" s="3">
        <f>_xlfn.XLOOKUP(C75,'Territory List'!$D$2:$D$352,'Territory List'!$G$2:$G$352)</f>
        <v>5</v>
      </c>
      <c r="E75" s="10">
        <f>VLOOKUP(A75,'5-Brian'!$A$2:$F$26,3,FALSE)</f>
        <v>46050</v>
      </c>
      <c r="F75" s="10">
        <f>VLOOKUP(A75,'5-Brian'!$A$1:$H$36,7,FALSE)</f>
        <v>0</v>
      </c>
      <c r="G75" s="3" t="str">
        <f>VLOOKUP(A75,'5-Brian'!$A$2:$F$26,4,FALSE)</f>
        <v>-</v>
      </c>
      <c r="H75" s="3" t="str">
        <f>VLOOKUP(A75,'5-Brian'!$A$2:$F$26,5,FALSE)</f>
        <v>-</v>
      </c>
      <c r="I75" s="3" t="str">
        <f>VLOOKUP(A75,'5-Brian'!$A$2:$F$26,6,FALSE)</f>
        <v>-</v>
      </c>
      <c r="J75" s="3">
        <f>VLOOKUP(A75,'5-Brian'!$A$1:$H$40,8,FALSE)</f>
        <v>0</v>
      </c>
    </row>
    <row r="76" spans="1:10" x14ac:dyDescent="0.35">
      <c r="A76" s="4" t="s">
        <v>1022</v>
      </c>
      <c r="B76" s="4" t="s">
        <v>763</v>
      </c>
      <c r="C76" t="s">
        <v>128</v>
      </c>
      <c r="D76" s="3">
        <v>5</v>
      </c>
      <c r="E76" s="10" t="e">
        <f>VLOOKUP(A76,'5-Brian'!$A$2:$F$26,3,FALSE)</f>
        <v>#N/A</v>
      </c>
      <c r="F76" s="10" t="e">
        <f>VLOOKUP(A76,'5-Brian'!$A$1:$H$36,7,FALSE)</f>
        <v>#N/A</v>
      </c>
      <c r="G76" s="3" t="e">
        <f>VLOOKUP(A76,'5-Brian'!$A$2:$F$26,4,FALSE)</f>
        <v>#N/A</v>
      </c>
      <c r="H76" s="3" t="e">
        <f>VLOOKUP(A76,'5-Brian'!$A$2:$F$26,5,FALSE)</f>
        <v>#N/A</v>
      </c>
      <c r="I76" s="3" t="e">
        <f>VLOOKUP(A76,'5-Brian'!$A$2:$F$26,6,FALSE)</f>
        <v>#N/A</v>
      </c>
      <c r="J76" s="3">
        <f>_xlfn.IFNA(VLOOKUP(A76,'13-Michelle'!$A$1:$H$35,8,FALSE),0)</f>
        <v>0</v>
      </c>
    </row>
    <row r="77" spans="1:10" x14ac:dyDescent="0.35">
      <c r="A77" s="4" t="s">
        <v>753</v>
      </c>
      <c r="B77" s="4" t="s">
        <v>754</v>
      </c>
      <c r="C77" t="s">
        <v>127</v>
      </c>
      <c r="D77" s="3">
        <f>_xlfn.XLOOKUP(C77,'Territory List'!$D$2:$D$352,'Territory List'!$G$2:$G$352)</f>
        <v>5</v>
      </c>
      <c r="E77" s="10">
        <f>VLOOKUP(A77,'5-Brian'!$A$2:$F$26,3,FALSE)</f>
        <v>46162</v>
      </c>
      <c r="F77" s="10">
        <f>VLOOKUP(A77,'5-Brian'!$A$1:$H$36,7,FALSE)</f>
        <v>0</v>
      </c>
      <c r="G77" s="3" t="str">
        <f>VLOOKUP(A77,'5-Brian'!$A$2:$F$26,4,FALSE)</f>
        <v>-</v>
      </c>
      <c r="H77" s="3" t="str">
        <f>VLOOKUP(A77,'5-Brian'!$A$2:$F$26,5,FALSE)</f>
        <v>-</v>
      </c>
      <c r="I77" s="3" t="str">
        <f>VLOOKUP(A77,'5-Brian'!$A$2:$F$26,6,FALSE)</f>
        <v>-</v>
      </c>
      <c r="J77" s="3">
        <f>VLOOKUP(A77,'5-Brian'!$A$1:$H$40,8,FALSE)</f>
        <v>0</v>
      </c>
    </row>
    <row r="78" spans="1:10" x14ac:dyDescent="0.35">
      <c r="A78" s="4" t="s">
        <v>751</v>
      </c>
      <c r="B78" s="4" t="s">
        <v>752</v>
      </c>
      <c r="C78" t="s">
        <v>126</v>
      </c>
      <c r="D78" s="3">
        <f>_xlfn.XLOOKUP(C78,'Territory List'!$D$2:$D$352,'Territory List'!$G$2:$G$352)</f>
        <v>5</v>
      </c>
      <c r="E78" s="10">
        <f>VLOOKUP(A78,'5-Brian'!$A$2:$F$26,3,FALSE)</f>
        <v>46097</v>
      </c>
      <c r="F78" s="10">
        <f>VLOOKUP(A78,'5-Brian'!$A$1:$H$36,7,FALSE)</f>
        <v>46281</v>
      </c>
      <c r="G78" s="3" t="str">
        <f>VLOOKUP(A78,'5-Brian'!$A$2:$F$26,4,FALSE)</f>
        <v xml:space="preserve">Lunch Review preferred </v>
      </c>
      <c r="H78" s="3" t="str">
        <f>VLOOKUP(A78,'5-Brian'!$A$2:$F$26,5,FALSE)</f>
        <v>-</v>
      </c>
      <c r="I78" s="3" t="str">
        <f>VLOOKUP(A78,'5-Brian'!$A$2:$F$26,6,FALSE)</f>
        <v>-</v>
      </c>
      <c r="J78" s="3">
        <f>VLOOKUP(A78,'5-Brian'!$A$1:$H$40,8,FALSE)</f>
        <v>0</v>
      </c>
    </row>
    <row r="79" spans="1:10" x14ac:dyDescent="0.35">
      <c r="A79" s="4" t="s">
        <v>749</v>
      </c>
      <c r="B79" s="4" t="s">
        <v>750</v>
      </c>
      <c r="C79" t="s">
        <v>125</v>
      </c>
      <c r="D79" s="3">
        <f>_xlfn.XLOOKUP(C79,'Territory List'!$D$2:$D$352,'Territory List'!$G$2:$G$352)</f>
        <v>5</v>
      </c>
      <c r="E79" s="10" t="str">
        <f>VLOOKUP(A79,'5-Brian'!$A$2:$F$26,3,FALSE)</f>
        <v>email out</v>
      </c>
      <c r="F79" s="10">
        <f>VLOOKUP(A79,'5-Brian'!$A$1:$H$36,7,FALSE)</f>
        <v>0</v>
      </c>
      <c r="G79" s="3" t="str">
        <f>VLOOKUP(A79,'5-Brian'!$A$2:$F$26,4,FALSE)</f>
        <v>-</v>
      </c>
      <c r="H79" s="3" t="str">
        <f>VLOOKUP(A79,'5-Brian'!$A$2:$F$26,5,FALSE)</f>
        <v>-</v>
      </c>
      <c r="I79" s="3" t="str">
        <f>VLOOKUP(A79,'5-Brian'!$A$2:$F$26,6,FALSE)</f>
        <v>-</v>
      </c>
      <c r="J79" s="3">
        <f>VLOOKUP(A79,'5-Brian'!$A$1:$H$40,8,FALSE)</f>
        <v>0</v>
      </c>
    </row>
    <row r="80" spans="1:10" x14ac:dyDescent="0.35">
      <c r="A80" s="4" t="s">
        <v>729</v>
      </c>
      <c r="B80" s="4" t="s">
        <v>730</v>
      </c>
      <c r="C80" t="s">
        <v>124</v>
      </c>
      <c r="D80" s="3">
        <f>_xlfn.XLOOKUP(C80,'Territory List'!$D$2:$D$352,'Territory List'!$G$2:$G$352)</f>
        <v>5</v>
      </c>
      <c r="E80" s="10" t="str">
        <f>VLOOKUP(A80,'5-Brian'!$A$2:$F$26,3,FALSE)</f>
        <v>Sara Hunter</v>
      </c>
      <c r="F80" s="10">
        <f>VLOOKUP(A80,'5-Brian'!$A$1:$H$36,7,FALSE)</f>
        <v>0</v>
      </c>
      <c r="G80" s="3" t="str">
        <f>VLOOKUP(A80,'5-Brian'!$A$2:$F$26,4,FALSE)</f>
        <v>-</v>
      </c>
      <c r="H80" s="3" t="str">
        <f>VLOOKUP(A80,'5-Brian'!$A$2:$F$26,5,FALSE)</f>
        <v>-</v>
      </c>
      <c r="I80" s="3" t="str">
        <f>VLOOKUP(A80,'5-Brian'!$A$2:$F$26,6,FALSE)</f>
        <v>-</v>
      </c>
      <c r="J80" s="3">
        <f>VLOOKUP(A80,'5-Brian'!$A$1:$H$40,8,FALSE)</f>
        <v>0</v>
      </c>
    </row>
    <row r="81" spans="1:10" x14ac:dyDescent="0.35">
      <c r="A81" s="4" t="s">
        <v>713</v>
      </c>
      <c r="B81" s="4" t="s">
        <v>714</v>
      </c>
      <c r="C81" t="s">
        <v>135</v>
      </c>
      <c r="D81" s="3">
        <f>_xlfn.XLOOKUP(C81,'Territory List'!$D$2:$D$352,'Territory List'!$G$2:$G$352)</f>
        <v>5</v>
      </c>
      <c r="E81" s="10">
        <f>VLOOKUP(A81,'5-Brian'!$A$2:$F$26,3,FALSE)</f>
        <v>46174</v>
      </c>
      <c r="F81" s="10">
        <f>VLOOKUP(A81,'5-Brian'!$A$1:$H$36,7,FALSE)</f>
        <v>0</v>
      </c>
      <c r="G81" s="3" t="str">
        <f>VLOOKUP(A81,'5-Brian'!$A$2:$F$26,4,FALSE)</f>
        <v>-</v>
      </c>
      <c r="H81" s="3" t="str">
        <f>VLOOKUP(A81,'5-Brian'!$A$2:$F$26,5,FALSE)</f>
        <v>-</v>
      </c>
      <c r="I81" s="3" t="str">
        <f>VLOOKUP(A81,'5-Brian'!$A$2:$F$26,6,FALSE)</f>
        <v>-</v>
      </c>
      <c r="J81" s="3">
        <f>VLOOKUP(A81,'5-Brian'!$A$1:$H$40,8,FALSE)</f>
        <v>0</v>
      </c>
    </row>
    <row r="82" spans="1:10" x14ac:dyDescent="0.35">
      <c r="A82" s="4" t="s">
        <v>692</v>
      </c>
      <c r="B82" s="4" t="s">
        <v>937</v>
      </c>
      <c r="C82" t="s">
        <v>134</v>
      </c>
      <c r="D82" s="3">
        <f>_xlfn.XLOOKUP(C82,'Territory List'!$D$2:$D$352,'Territory List'!$G$2:$G$352)</f>
        <v>5</v>
      </c>
      <c r="E82" s="10" t="str">
        <f>VLOOKUP(A82,'5-Brian'!$A$2:$F$26,3,FALSE)</f>
        <v>-</v>
      </c>
      <c r="F82" s="10">
        <f>VLOOKUP(A82,'5-Brian'!$A$1:$H$36,7,FALSE)</f>
        <v>0</v>
      </c>
      <c r="G82" s="3" t="str">
        <f>VLOOKUP(A82,'5-Brian'!$A$2:$F$26,4,FALSE)</f>
        <v>Available Fridays only 8:00am-4:00pm Drop ins okay</v>
      </c>
      <c r="H82" s="3" t="str">
        <f>VLOOKUP(A82,'5-Brian'!$A$2:$F$26,5,FALSE)</f>
        <v>-</v>
      </c>
      <c r="I82" s="3" t="str">
        <f>VLOOKUP(A82,'5-Brian'!$A$2:$F$26,6,FALSE)</f>
        <v>-</v>
      </c>
      <c r="J82" s="3">
        <f>VLOOKUP(A82,'5-Brian'!$A$1:$H$40,8,FALSE)</f>
        <v>0</v>
      </c>
    </row>
    <row r="83" spans="1:10" x14ac:dyDescent="0.35">
      <c r="A83" s="4" t="s">
        <v>638</v>
      </c>
      <c r="B83" s="4" t="s">
        <v>639</v>
      </c>
      <c r="C83" t="s">
        <v>118</v>
      </c>
      <c r="D83" s="3">
        <f>_xlfn.XLOOKUP(C83,'Territory List'!$D$2:$D$352,'Territory List'!$G$2:$G$352)</f>
        <v>5</v>
      </c>
      <c r="E83" s="10" t="str">
        <f>VLOOKUP(A83,'5-Brian'!$A$2:$F$26,3,FALSE)</f>
        <v>-</v>
      </c>
      <c r="F83" s="10">
        <f>VLOOKUP(A83,'5-Brian'!$A$1:$H$36,7,FALSE)</f>
        <v>46268</v>
      </c>
      <c r="G83" s="3" t="str">
        <f>VLOOKUP(A83,'5-Brian'!$A$2:$F$26,4,FALSE)</f>
        <v>-</v>
      </c>
      <c r="H83" s="3" t="str">
        <f>VLOOKUP(A83,'5-Brian'!$A$2:$F$26,5,FALSE)</f>
        <v>-</v>
      </c>
      <c r="I83" s="3" t="str">
        <f>VLOOKUP(A83,'5-Brian'!$A$2:$F$26,6,FALSE)</f>
        <v>-</v>
      </c>
      <c r="J83" s="3">
        <f>VLOOKUP(A83,'5-Brian'!$A$1:$H$40,8,FALSE)</f>
        <v>0</v>
      </c>
    </row>
    <row r="84" spans="1:10" x14ac:dyDescent="0.35">
      <c r="A84" s="4" t="s">
        <v>623</v>
      </c>
      <c r="B84" s="4" t="s">
        <v>624</v>
      </c>
      <c r="C84" t="s">
        <v>116</v>
      </c>
      <c r="D84" s="3">
        <f>_xlfn.XLOOKUP(C84,'Territory List'!$D$2:$D$352,'Territory List'!$G$2:$G$352)</f>
        <v>5</v>
      </c>
      <c r="E84" s="10" t="str">
        <f>VLOOKUP(A84,'5-Brian'!$A$2:$F$26,3,FALSE)</f>
        <v xml:space="preserve"> </v>
      </c>
      <c r="F84" s="10">
        <f>VLOOKUP(A84,'5-Brian'!$A$1:$H$36,7,FALSE)</f>
        <v>46281</v>
      </c>
      <c r="G84" s="3" t="str">
        <f>VLOOKUP(A84,'5-Brian'!$A$2:$F$26,4,FALSE)</f>
        <v>-</v>
      </c>
      <c r="H84" s="3" t="str">
        <f>VLOOKUP(A84,'5-Brian'!$A$2:$F$26,5,FALSE)</f>
        <v>-</v>
      </c>
      <c r="I84" s="3" t="str">
        <f>VLOOKUP(A84,'5-Brian'!$A$2:$F$26,6,FALSE)</f>
        <v>-</v>
      </c>
      <c r="J84" s="3">
        <f>VLOOKUP(A84,'5-Brian'!$A$1:$H$40,8,FALSE)</f>
        <v>0</v>
      </c>
    </row>
    <row r="85" spans="1:10" x14ac:dyDescent="0.35">
      <c r="A85" s="4" t="s">
        <v>601</v>
      </c>
      <c r="B85" s="4" t="s">
        <v>602</v>
      </c>
      <c r="C85" t="s">
        <v>113</v>
      </c>
      <c r="D85" s="3">
        <f>_xlfn.XLOOKUP(C85,'Territory List'!$D$2:$D$352,'Territory List'!$G$2:$G$352)</f>
        <v>5</v>
      </c>
      <c r="E85" s="10">
        <f>VLOOKUP(A85,'5-Brian'!$A$2:$F$26,3,FALSE)</f>
        <v>46099</v>
      </c>
      <c r="F85" s="10">
        <f>VLOOKUP(A85,'5-Brian'!$A$1:$H$36,7,FALSE)</f>
        <v>46267</v>
      </c>
      <c r="G85" s="3" t="str">
        <f>VLOOKUP(A85,'5-Brian'!$A$2:$F$26,4,FALSE)</f>
        <v>-</v>
      </c>
      <c r="H85" s="3" t="str">
        <f>VLOOKUP(A85,'5-Brian'!$A$2:$F$26,5,FALSE)</f>
        <v>-</v>
      </c>
      <c r="I85" s="3" t="str">
        <f>VLOOKUP(A85,'5-Brian'!$A$2:$F$26,6,FALSE)</f>
        <v>-</v>
      </c>
      <c r="J85" s="3">
        <f>VLOOKUP(A85,'5-Brian'!$A$1:$H$40,8,FALSE)</f>
        <v>0</v>
      </c>
    </row>
    <row r="86" spans="1:10" x14ac:dyDescent="0.35">
      <c r="A86" s="4" t="s">
        <v>580</v>
      </c>
      <c r="B86" s="4" t="s">
        <v>952</v>
      </c>
      <c r="C86" t="s">
        <v>110</v>
      </c>
      <c r="D86" s="3">
        <f>_xlfn.XLOOKUP(C86,'Territory List'!$D$2:$D$352,'Territory List'!$G$2:$G$352)</f>
        <v>5</v>
      </c>
      <c r="E86" s="10">
        <f>VLOOKUP(A86,'5-Brian'!$A$2:$F$26,3,FALSE)</f>
        <v>46099</v>
      </c>
      <c r="F86" s="10">
        <f>VLOOKUP(A86,'5-Brian'!$A$1:$H$36,7,FALSE)</f>
        <v>46267</v>
      </c>
      <c r="G86" s="3" t="str">
        <f>VLOOKUP(A86,'5-Brian'!$A$2:$F$26,4,FALSE)</f>
        <v>-</v>
      </c>
      <c r="H86" s="3" t="str">
        <f>VLOOKUP(A86,'5-Brian'!$A$2:$F$26,5,FALSE)</f>
        <v>-</v>
      </c>
      <c r="I86" s="3" t="str">
        <f>VLOOKUP(A86,'5-Brian'!$A$2:$F$26,6,FALSE)</f>
        <v>-</v>
      </c>
      <c r="J86" s="3">
        <f>VLOOKUP(A86,'5-Brian'!$A$1:$H$40,8,FALSE)</f>
        <v>0</v>
      </c>
    </row>
    <row r="87" spans="1:10" x14ac:dyDescent="0.35">
      <c r="A87" s="4" t="s">
        <v>546</v>
      </c>
      <c r="B87" s="4" t="s">
        <v>547</v>
      </c>
      <c r="C87" t="s">
        <v>108</v>
      </c>
      <c r="D87" s="3">
        <f>_xlfn.XLOOKUP(C87,'Territory List'!$D$2:$D$352,'Territory List'!$G$2:$G$352)</f>
        <v>5</v>
      </c>
      <c r="E87" s="10">
        <f>VLOOKUP(A87,'5-Brian'!$A$2:$F$26,3,FALSE)</f>
        <v>46106</v>
      </c>
      <c r="F87" s="10">
        <f>VLOOKUP(A87,'5-Brian'!$A$1:$H$36,7,FALSE)</f>
        <v>46267</v>
      </c>
      <c r="G87" s="3" t="str">
        <f>VLOOKUP(A87,'5-Brian'!$A$2:$F$26,4,FALSE)</f>
        <v>-</v>
      </c>
      <c r="H87" s="3" t="str">
        <f>VLOOKUP(A87,'5-Brian'!$A$2:$F$26,5,FALSE)</f>
        <v>-</v>
      </c>
      <c r="I87" s="3" t="str">
        <f>VLOOKUP(A87,'5-Brian'!$A$2:$F$26,6,FALSE)</f>
        <v>-</v>
      </c>
      <c r="J87" s="3">
        <f>VLOOKUP(A87,'5-Brian'!$A$1:$H$40,8,FALSE)</f>
        <v>0</v>
      </c>
    </row>
    <row r="88" spans="1:10" x14ac:dyDescent="0.35">
      <c r="A88" s="4" t="s">
        <v>531</v>
      </c>
      <c r="B88" s="4" t="s">
        <v>532</v>
      </c>
      <c r="C88" t="s">
        <v>107</v>
      </c>
      <c r="D88" s="3">
        <f>_xlfn.XLOOKUP(C88,'Territory List'!$D$2:$D$352,'Territory List'!$G$2:$G$352)</f>
        <v>5</v>
      </c>
      <c r="E88" s="10">
        <f>VLOOKUP(A88,'5-Brian'!$A$2:$F$26,3,FALSE)</f>
        <v>46097</v>
      </c>
      <c r="F88" s="10">
        <f>VLOOKUP(A88,'5-Brian'!$A$1:$H$36,7,FALSE)</f>
        <v>46267</v>
      </c>
      <c r="G88" s="3" t="str">
        <f>VLOOKUP(A88,'5-Brian'!$A$2:$F$26,4,FALSE)</f>
        <v>-</v>
      </c>
      <c r="H88" s="3" t="str">
        <f>VLOOKUP(A88,'5-Brian'!$A$2:$F$26,5,FALSE)</f>
        <v>-</v>
      </c>
      <c r="I88" s="3" t="str">
        <f>VLOOKUP(A88,'5-Brian'!$A$2:$F$26,6,FALSE)</f>
        <v>-</v>
      </c>
      <c r="J88" s="3">
        <f>VLOOKUP(A88,'5-Brian'!$A$1:$H$40,8,FALSE)</f>
        <v>0</v>
      </c>
    </row>
    <row r="89" spans="1:10" x14ac:dyDescent="0.35">
      <c r="A89" s="4" t="s">
        <v>525</v>
      </c>
      <c r="B89" s="4" t="s">
        <v>526</v>
      </c>
      <c r="C89" t="s">
        <v>298</v>
      </c>
      <c r="D89" s="3">
        <f>_xlfn.XLOOKUP(C89,'Territory List'!$D$2:$D$352,'Territory List'!$G$2:$G$352)</f>
        <v>5</v>
      </c>
      <c r="E89" s="10">
        <f>VLOOKUP(A89,'5-Brian'!$A$2:$F$26,3,FALSE)</f>
        <v>46162</v>
      </c>
      <c r="F89" s="10">
        <f>VLOOKUP(A89,'5-Brian'!$A$1:$H$36,7,FALSE)</f>
        <v>0</v>
      </c>
      <c r="G89" s="3" t="str">
        <f>VLOOKUP(A89,'5-Brian'!$A$2:$F$26,4,FALSE)</f>
        <v>-</v>
      </c>
      <c r="H89" s="3" t="str">
        <f>VLOOKUP(A89,'5-Brian'!$A$2:$F$26,5,FALSE)</f>
        <v>-</v>
      </c>
      <c r="I89" s="3" t="str">
        <f>VLOOKUP(A89,'5-Brian'!$A$2:$F$26,6,FALSE)</f>
        <v>-</v>
      </c>
      <c r="J89" s="3">
        <f>VLOOKUP(A89,'5-Brian'!$A$1:$H$40,8,FALSE)</f>
        <v>0</v>
      </c>
    </row>
    <row r="90" spans="1:10" x14ac:dyDescent="0.35">
      <c r="A90" s="4" t="s">
        <v>400</v>
      </c>
      <c r="B90" s="4" t="s">
        <v>401</v>
      </c>
      <c r="C90" t="s">
        <v>101</v>
      </c>
      <c r="D90" s="3">
        <f>_xlfn.XLOOKUP(C90,'Territory List'!$D$2:$D$352,'Territory List'!$G$2:$G$352)</f>
        <v>5</v>
      </c>
      <c r="E90" s="10">
        <f>VLOOKUP(A90,'5-Brian'!$A$2:$F$26,3,FALSE)</f>
        <v>46182</v>
      </c>
      <c r="F90" s="10">
        <f>VLOOKUP(A90,'5-Brian'!$A$1:$H$36,7,FALSE)</f>
        <v>0</v>
      </c>
      <c r="G90" s="3" t="str">
        <f>VLOOKUP(A90,'5-Brian'!$A$2:$F$26,4,FALSE)</f>
        <v>-</v>
      </c>
      <c r="H90" s="3" t="str">
        <f>VLOOKUP(A90,'5-Brian'!$A$2:$F$26,5,FALSE)</f>
        <v>-</v>
      </c>
      <c r="I90" s="3" t="str">
        <f>VLOOKUP(A90,'5-Brian'!$A$2:$F$26,6,FALSE)</f>
        <v>-</v>
      </c>
      <c r="J90" s="3">
        <f>VLOOKUP(A90,'5-Brian'!$A$1:$H$40,8,FALSE)</f>
        <v>0</v>
      </c>
    </row>
    <row r="91" spans="1:10" x14ac:dyDescent="0.35">
      <c r="A91" s="4" t="s">
        <v>389</v>
      </c>
      <c r="B91" s="4" t="s">
        <v>390</v>
      </c>
      <c r="C91" t="s">
        <v>99</v>
      </c>
      <c r="D91" s="3">
        <f>_xlfn.XLOOKUP(C91,'Territory List'!$D$2:$D$352,'Territory List'!$G$2:$G$352)</f>
        <v>5</v>
      </c>
      <c r="E91" s="10">
        <f>VLOOKUP(A91,'5-Brian'!$A$2:$F$26,3,FALSE)</f>
        <v>46071</v>
      </c>
      <c r="F91" s="10">
        <f>VLOOKUP(A91,'5-Brian'!$A$1:$H$36,7,FALSE)</f>
        <v>46268</v>
      </c>
      <c r="G91" s="3" t="str">
        <f>VLOOKUP(A91,'5-Brian'!$A$2:$F$26,4,FALSE)</f>
        <v>-</v>
      </c>
      <c r="H91" s="3">
        <f>VLOOKUP(A91,'5-Brian'!$A$2:$F$26,5,FALSE)</f>
        <v>14</v>
      </c>
      <c r="I91" s="3" t="str">
        <f>VLOOKUP(A91,'5-Brian'!$A$2:$F$26,6,FALSE)</f>
        <v>-</v>
      </c>
      <c r="J91" s="3">
        <f>VLOOKUP(A91,'5-Brian'!$A$1:$H$40,8,FALSE)</f>
        <v>0</v>
      </c>
    </row>
    <row r="92" spans="1:10" x14ac:dyDescent="0.35">
      <c r="A92" s="4" t="s">
        <v>381</v>
      </c>
      <c r="B92" s="4" t="s">
        <v>382</v>
      </c>
      <c r="C92" t="s">
        <v>98</v>
      </c>
      <c r="D92" s="3">
        <f>_xlfn.XLOOKUP(C92,'Territory List'!$D$2:$D$352,'Territory List'!$G$2:$G$352)</f>
        <v>5</v>
      </c>
      <c r="E92" s="10">
        <f>VLOOKUP(A92,'5-Brian'!$A$2:$F$26,3,FALSE)</f>
        <v>46140</v>
      </c>
      <c r="F92" s="10" t="str">
        <f>VLOOKUP(A92,'5-Brian'!$A$1:$H$36,7,FALSE)</f>
        <v>9/10/26?</v>
      </c>
      <c r="G92" s="3" t="str">
        <f>VLOOKUP(A92,'5-Brian'!$A$2:$F$26,4,FALSE)</f>
        <v>-</v>
      </c>
      <c r="H92" s="3" t="str">
        <f>VLOOKUP(A92,'5-Brian'!$A$2:$F$26,5,FALSE)</f>
        <v>-</v>
      </c>
      <c r="I92" s="3" t="str">
        <f>VLOOKUP(A92,'5-Brian'!$A$2:$F$26,6,FALSE)</f>
        <v>-</v>
      </c>
      <c r="J92" s="3">
        <f>VLOOKUP(A92,'5-Brian'!$A$1:$H$40,8,FALSE)</f>
        <v>0</v>
      </c>
    </row>
    <row r="93" spans="1:10" x14ac:dyDescent="0.35">
      <c r="A93" s="4" t="s">
        <v>379</v>
      </c>
      <c r="B93" s="4" t="s">
        <v>380</v>
      </c>
      <c r="C93" t="s">
        <v>97</v>
      </c>
      <c r="D93" s="3">
        <f>_xlfn.XLOOKUP(C93,'Territory List'!$D$2:$D$352,'Territory List'!$G$2:$G$352)</f>
        <v>5</v>
      </c>
      <c r="E93" s="10">
        <f>VLOOKUP(A93,'5-Brian'!$A$2:$F$26,3,FALSE)</f>
        <v>46140</v>
      </c>
      <c r="F93" s="10" t="str">
        <f>VLOOKUP(A93,'5-Brian'!$A$1:$H$36,7,FALSE)</f>
        <v>9/10/26?</v>
      </c>
      <c r="G93" s="3" t="str">
        <f>VLOOKUP(A93,'5-Brian'!$A$2:$F$26,4,FALSE)</f>
        <v>-</v>
      </c>
      <c r="H93" s="3" t="str">
        <f>VLOOKUP(A93,'5-Brian'!$A$2:$F$26,5,FALSE)</f>
        <v>-</v>
      </c>
      <c r="I93" s="3" t="str">
        <f>VLOOKUP(A93,'5-Brian'!$A$2:$F$26,6,FALSE)</f>
        <v>-</v>
      </c>
      <c r="J93" s="3">
        <f>VLOOKUP(A93,'5-Brian'!$A$1:$H$40,8,FALSE)</f>
        <v>0</v>
      </c>
    </row>
    <row r="94" spans="1:10" x14ac:dyDescent="0.35">
      <c r="A94" s="4" t="s">
        <v>914</v>
      </c>
      <c r="B94" s="4" t="s">
        <v>915</v>
      </c>
      <c r="C94" t="s">
        <v>311</v>
      </c>
      <c r="D94" s="3">
        <f>_xlfn.XLOOKUP(C94,'Territory List'!$D$2:$D$352,'Territory List'!$G$2:$G$352)</f>
        <v>6</v>
      </c>
      <c r="E94" s="10" t="str">
        <f>VLOOKUP(A94,'6-Sue'!$A$2:$F$23,3,FALSE)</f>
        <v>5/19/26 @ 1pm</v>
      </c>
      <c r="F94" s="10">
        <f>VLOOKUP(A94,'6-Sue'!$A$1:$H$38,7,FALSE)</f>
        <v>0</v>
      </c>
      <c r="G94" s="3" t="str">
        <f>VLOOKUP(A94,'6-Sue'!$A$2:$F$23,4,FALSE)</f>
        <v>-</v>
      </c>
      <c r="H94" s="3" t="str">
        <f>VLOOKUP(A94,'6-Sue'!$A$2:$F$23,5,FALSE)</f>
        <v>-</v>
      </c>
      <c r="I94" s="3" t="str">
        <f>VLOOKUP(A94,'6-Sue'!$A$2:$F$23,6,FALSE)</f>
        <v>-</v>
      </c>
      <c r="J94" s="3">
        <f>VLOOKUP(A94,'6-Sue'!$A$1:$H$38,8,FALSE)</f>
        <v>0</v>
      </c>
    </row>
    <row r="95" spans="1:10" x14ac:dyDescent="0.35">
      <c r="A95" s="4" t="s">
        <v>896</v>
      </c>
      <c r="B95" s="4" t="s">
        <v>940</v>
      </c>
      <c r="C95" t="s">
        <v>310</v>
      </c>
      <c r="D95" s="3">
        <f>_xlfn.XLOOKUP(C95,'Territory List'!$D$2:$D$352,'Territory List'!$G$2:$G$352)</f>
        <v>6</v>
      </c>
      <c r="E95" s="10" t="str">
        <f>VLOOKUP(A95,'6-Sue'!$A$2:$F$23,3,FALSE)</f>
        <v>4/1 @ 10am</v>
      </c>
      <c r="F95" s="10">
        <f>VLOOKUP(A95,'6-Sue'!$A$1:$H$38,7,FALSE)</f>
        <v>0</v>
      </c>
      <c r="G95" s="3" t="str">
        <f>VLOOKUP(A95,'6-Sue'!$A$2:$F$23,4,FALSE)</f>
        <v>-</v>
      </c>
      <c r="H95" s="3" t="str">
        <f>VLOOKUP(A95,'6-Sue'!$A$2:$F$23,5,FALSE)</f>
        <v>-</v>
      </c>
      <c r="I95" s="3" t="str">
        <f>VLOOKUP(A95,'6-Sue'!$A$2:$F$23,6,FALSE)</f>
        <v>-</v>
      </c>
      <c r="J95" s="3">
        <f>VLOOKUP(A95,'6-Sue'!$A$1:$H$38,8,FALSE)</f>
        <v>0</v>
      </c>
    </row>
    <row r="96" spans="1:10" x14ac:dyDescent="0.35">
      <c r="A96" s="4" t="s">
        <v>890</v>
      </c>
      <c r="B96" s="4" t="s">
        <v>870</v>
      </c>
      <c r="C96" t="s">
        <v>309</v>
      </c>
      <c r="D96" s="3">
        <f>_xlfn.XLOOKUP(C96,'Territory List'!$D$2:$D$352,'Territory List'!$G$2:$G$352)</f>
        <v>6</v>
      </c>
      <c r="E96" s="10" t="str">
        <f>VLOOKUP(A96,'6-Sue'!$A$2:$F$23,3,FALSE)</f>
        <v>3/31 @ 1pm</v>
      </c>
      <c r="F96" s="10">
        <f>VLOOKUP(A96,'6-Sue'!$A$1:$H$38,7,FALSE)</f>
        <v>0</v>
      </c>
      <c r="G96" s="3">
        <f>VLOOKUP(A96,'6-Sue'!$A$2:$F$23,4,FALSE)</f>
        <v>0</v>
      </c>
      <c r="H96" s="3">
        <f>VLOOKUP(A96,'6-Sue'!$A$2:$F$23,5,FALSE)</f>
        <v>3</v>
      </c>
      <c r="I96" s="3" t="str">
        <f>VLOOKUP(A96,'6-Sue'!$A$2:$F$23,6,FALSE)</f>
        <v>-</v>
      </c>
      <c r="J96" s="3">
        <f>VLOOKUP(A96,'6-Sue'!$A$1:$H$38,8,FALSE)</f>
        <v>0</v>
      </c>
    </row>
    <row r="97" spans="1:10" x14ac:dyDescent="0.35">
      <c r="A97" s="4" t="s">
        <v>884</v>
      </c>
      <c r="B97" s="4" t="s">
        <v>885</v>
      </c>
      <c r="C97" t="s">
        <v>308</v>
      </c>
      <c r="D97" s="3">
        <f>_xlfn.XLOOKUP(C97,'Territory List'!$D$2:$D$352,'Territory List'!$G$2:$G$352)</f>
        <v>6</v>
      </c>
      <c r="E97" s="10" t="str">
        <f>VLOOKUP(A97,'6-Sue'!$A$2:$F$23,3,FALSE)</f>
        <v>4/1 @ 3pm</v>
      </c>
      <c r="F97" s="10">
        <f>VLOOKUP(A97,'6-Sue'!$A$1:$H$38,7,FALSE)</f>
        <v>0</v>
      </c>
      <c r="G97" s="3" t="str">
        <f>VLOOKUP(A97,'6-Sue'!$A$2:$F$23,4,FALSE)</f>
        <v>-</v>
      </c>
      <c r="H97" s="3" t="str">
        <f>VLOOKUP(A97,'6-Sue'!$A$2:$F$23,5,FALSE)</f>
        <v>-</v>
      </c>
      <c r="I97" s="3" t="str">
        <f>VLOOKUP(A97,'6-Sue'!$A$2:$F$23,6,FALSE)</f>
        <v>-</v>
      </c>
      <c r="J97" s="3">
        <f>VLOOKUP(A97,'6-Sue'!$A$1:$H$38,8,FALSE)</f>
        <v>0</v>
      </c>
    </row>
    <row r="98" spans="1:10" x14ac:dyDescent="0.35">
      <c r="A98" s="4" t="s">
        <v>882</v>
      </c>
      <c r="B98" s="4" t="s">
        <v>883</v>
      </c>
      <c r="C98" t="s">
        <v>307</v>
      </c>
      <c r="D98" s="3">
        <f>_xlfn.XLOOKUP(C98,'Territory List'!$D$2:$D$352,'Territory List'!$G$2:$G$352)</f>
        <v>6</v>
      </c>
      <c r="E98" s="10" t="str">
        <f>VLOOKUP(A98,'6-Sue'!$A$2:$F$23,3,FALSE)</f>
        <v>4/23/26 @2PM</v>
      </c>
      <c r="F98" s="10">
        <f>VLOOKUP(A98,'6-Sue'!$A$1:$H$38,7,FALSE)</f>
        <v>0</v>
      </c>
      <c r="G98" s="3" t="str">
        <f>VLOOKUP(A98,'6-Sue'!$A$2:$F$23,4,FALSE)</f>
        <v>-</v>
      </c>
      <c r="H98" s="3" t="str">
        <f>VLOOKUP(A98,'6-Sue'!$A$2:$F$23,5,FALSE)</f>
        <v>-</v>
      </c>
      <c r="I98" s="3" t="str">
        <f>VLOOKUP(A98,'6-Sue'!$A$2:$F$23,6,FALSE)</f>
        <v>-</v>
      </c>
      <c r="J98" s="3">
        <f>VLOOKUP(A98,'6-Sue'!$A$1:$H$38,8,FALSE)</f>
        <v>0</v>
      </c>
    </row>
    <row r="99" spans="1:10" x14ac:dyDescent="0.35">
      <c r="A99" s="4" t="s">
        <v>878</v>
      </c>
      <c r="B99" s="4" t="s">
        <v>879</v>
      </c>
      <c r="C99" t="s">
        <v>306</v>
      </c>
      <c r="D99" s="3">
        <f>_xlfn.XLOOKUP(C99,'Territory List'!$D$2:$D$352,'Territory List'!$G$2:$G$352)</f>
        <v>6</v>
      </c>
      <c r="E99" s="10" t="str">
        <f>VLOOKUP(A99,'6-Sue'!$A$2:$F$23,3,FALSE)</f>
        <v>tent 3/26</v>
      </c>
      <c r="F99" s="10">
        <f>VLOOKUP(A99,'6-Sue'!$A$1:$H$38,7,FALSE)</f>
        <v>0</v>
      </c>
      <c r="G99" s="3" t="str">
        <f>VLOOKUP(A99,'6-Sue'!$A$2:$F$23,4,FALSE)</f>
        <v>-</v>
      </c>
      <c r="H99" s="3">
        <f>VLOOKUP(A99,'6-Sue'!$A$2:$F$23,5,FALSE)</f>
        <v>3</v>
      </c>
      <c r="I99" s="3" t="str">
        <f>VLOOKUP(A99,'6-Sue'!$A$2:$F$23,6,FALSE)</f>
        <v>-</v>
      </c>
      <c r="J99" s="3">
        <f>VLOOKUP(A99,'6-Sue'!$A$1:$H$38,8,FALSE)</f>
        <v>0</v>
      </c>
    </row>
    <row r="100" spans="1:10" x14ac:dyDescent="0.35">
      <c r="A100" s="4" t="s">
        <v>871</v>
      </c>
      <c r="B100" s="4" t="s">
        <v>870</v>
      </c>
      <c r="C100" t="s">
        <v>309</v>
      </c>
      <c r="D100" s="3">
        <f>_xlfn.XLOOKUP(C100,'Territory List'!$D$2:$D$352,'Territory List'!$G$2:$G$352)</f>
        <v>6</v>
      </c>
      <c r="E100" s="10" t="str">
        <f>VLOOKUP(A100,'6-Sue'!$A$2:$F$23,3,FALSE)</f>
        <v>-</v>
      </c>
      <c r="F100" s="10">
        <f>VLOOKUP(A100,'6-Sue'!$A$1:$H$38,7,FALSE)</f>
        <v>0</v>
      </c>
      <c r="G100" s="3" t="str">
        <f>VLOOKUP(A100,'6-Sue'!$A$2:$F$23,4,FALSE)</f>
        <v>Located in Webster - No Sue (same client UCC Federated)</v>
      </c>
      <c r="H100" s="3" t="str">
        <f>VLOOKUP(A100,'6-Sue'!$A$2:$F$23,5,FALSE)</f>
        <v>12?</v>
      </c>
      <c r="I100" s="3" t="str">
        <f>VLOOKUP(A100,'6-Sue'!$A$2:$F$23,6,FALSE)</f>
        <v>-</v>
      </c>
      <c r="J100" s="3">
        <f>VLOOKUP(A100,'6-Sue'!$A$1:$H$38,8,FALSE)</f>
        <v>0</v>
      </c>
    </row>
    <row r="101" spans="1:10" x14ac:dyDescent="0.35">
      <c r="A101" s="4" t="s">
        <v>869</v>
      </c>
      <c r="B101" s="4" t="s">
        <v>870</v>
      </c>
      <c r="C101" t="s">
        <v>309</v>
      </c>
      <c r="D101" s="3">
        <f>_xlfn.XLOOKUP(C101,'Territory List'!$D$2:$D$352,'Territory List'!$G$2:$G$352)</f>
        <v>6</v>
      </c>
      <c r="E101" s="10" t="str">
        <f>VLOOKUP(A101,'6-Sue'!$A$2:$F$23,3,FALSE)</f>
        <v>-</v>
      </c>
      <c r="F101" s="10">
        <f>VLOOKUP(A101,'6-Sue'!$A$1:$H$38,7,FALSE)</f>
        <v>0</v>
      </c>
      <c r="G101" s="3" t="str">
        <f>VLOOKUP(A101,'6-Sue'!$A$2:$F$23,4,FALSE)</f>
        <v>Located in Webster - No Sue  (same client UCC Federated First)</v>
      </c>
      <c r="H101" s="3" t="str">
        <f>VLOOKUP(A101,'6-Sue'!$A$2:$F$23,5,FALSE)</f>
        <v>-</v>
      </c>
      <c r="I101" s="3" t="str">
        <f>VLOOKUP(A101,'6-Sue'!$A$2:$F$23,6,FALSE)</f>
        <v>-</v>
      </c>
      <c r="J101" s="3">
        <f>VLOOKUP(A101,'6-Sue'!$A$1:$H$38,8,FALSE)</f>
        <v>0</v>
      </c>
    </row>
    <row r="102" spans="1:10" x14ac:dyDescent="0.35">
      <c r="A102" s="4" t="s">
        <v>848</v>
      </c>
      <c r="B102" s="4" t="s">
        <v>849</v>
      </c>
      <c r="C102" t="s">
        <v>302</v>
      </c>
      <c r="D102" s="3">
        <f>_xlfn.XLOOKUP(C102,'Territory List'!$D$2:$D$352,'Territory List'!$G$2:$G$352)</f>
        <v>6</v>
      </c>
      <c r="E102" s="10" t="str">
        <f>VLOOKUP(A102,'6-Sue'!$A$2:$F$23,3,FALSE)</f>
        <v>Declined/sent revie</v>
      </c>
      <c r="F102" s="10">
        <f>VLOOKUP(A102,'6-Sue'!$A$1:$H$38,7,FALSE)</f>
        <v>0</v>
      </c>
      <c r="G102" s="3" t="str">
        <f>VLOOKUP(A102,'6-Sue'!$A$2:$F$23,4,FALSE)</f>
        <v>*For annual set up lunch appt.**</v>
      </c>
      <c r="H102" s="3">
        <f>VLOOKUP(A102,'6-Sue'!$A$2:$F$23,5,FALSE)</f>
        <v>3</v>
      </c>
      <c r="I102" s="3" t="str">
        <f>VLOOKUP(A102,'6-Sue'!$A$2:$F$23,6,FALSE)</f>
        <v>-</v>
      </c>
      <c r="J102" s="3">
        <f>VLOOKUP(A102,'6-Sue'!$A$1:$H$38,8,FALSE)</f>
        <v>0</v>
      </c>
    </row>
    <row r="103" spans="1:10" x14ac:dyDescent="0.35">
      <c r="A103" s="4" t="s">
        <v>829</v>
      </c>
      <c r="B103" s="4" t="s">
        <v>499</v>
      </c>
      <c r="C103" t="s">
        <v>278</v>
      </c>
      <c r="D103" s="3">
        <f>_xlfn.XLOOKUP(C103,'Territory List'!$D$2:$D$352,'Territory List'!$G$2:$G$352)</f>
        <v>6</v>
      </c>
      <c r="E103" s="10" t="str">
        <f>VLOOKUP(A103,'6-Sue'!$A$2:$F$23,3,FALSE)</f>
        <v>-</v>
      </c>
      <c r="F103" s="10">
        <f>VLOOKUP(A103,'6-Sue'!$A$1:$H$38,7,FALSE)</f>
        <v>0</v>
      </c>
      <c r="G103" s="3" t="str">
        <f>VLOOKUP(A103,'6-Sue'!$A$2:$F$23,4,FALSE)</f>
        <v>Located in Dudley-Meet once a yr. with Mike (Treasurer) and Lena (FD) Board?</v>
      </c>
      <c r="H103" s="3" t="str">
        <f>VLOOKUP(A103,'6-Sue'!$A$2:$F$23,5,FALSE)</f>
        <v>-</v>
      </c>
      <c r="I103" s="3" t="str">
        <f>VLOOKUP(A103,'6-Sue'!$A$2:$F$23,6,FALSE)</f>
        <v>-</v>
      </c>
      <c r="J103" s="3">
        <f>VLOOKUP(A103,'6-Sue'!$A$1:$H$38,8,FALSE)</f>
        <v>0</v>
      </c>
    </row>
    <row r="104" spans="1:10" x14ac:dyDescent="0.35">
      <c r="A104" s="4" t="s">
        <v>826</v>
      </c>
      <c r="B104" s="4" t="s">
        <v>827</v>
      </c>
      <c r="C104" t="s">
        <v>300</v>
      </c>
      <c r="D104" s="3">
        <f>_xlfn.XLOOKUP(C104,'Territory List'!$D$2:$D$352,'Territory List'!$G$2:$G$352)</f>
        <v>6</v>
      </c>
      <c r="E104" s="10" t="str">
        <f>VLOOKUP(A104,'6-Sue'!$A$2:$F$23,3,FALSE)</f>
        <v>4/14 @ 10am</v>
      </c>
      <c r="F104" s="10">
        <f>VLOOKUP(A104,'6-Sue'!$A$1:$H$38,7,FALSE)</f>
        <v>0</v>
      </c>
      <c r="G104" s="3" t="str">
        <f>VLOOKUP(A104,'6-Sue'!$A$2:$F$23,4,FALSE)</f>
        <v>-</v>
      </c>
      <c r="H104" s="3">
        <f>VLOOKUP(A104,'6-Sue'!$A$2:$F$23,5,FALSE)</f>
        <v>3</v>
      </c>
      <c r="I104" s="3" t="str">
        <f>VLOOKUP(A104,'6-Sue'!$A$2:$F$23,6,FALSE)</f>
        <v>-</v>
      </c>
      <c r="J104" s="3">
        <f>VLOOKUP(A104,'6-Sue'!$A$1:$H$38,8,FALSE)</f>
        <v>0</v>
      </c>
    </row>
    <row r="105" spans="1:10" x14ac:dyDescent="0.35">
      <c r="A105" s="4" t="s">
        <v>741</v>
      </c>
      <c r="B105" s="4" t="s">
        <v>742</v>
      </c>
      <c r="C105" t="s">
        <v>296</v>
      </c>
      <c r="D105" s="3">
        <f>_xlfn.XLOOKUP(C105,'Territory List'!$D$2:$D$352,'Territory List'!$G$2:$G$352)</f>
        <v>6</v>
      </c>
      <c r="E105" s="10" t="str">
        <f>VLOOKUP(A105,'6-Sue'!$A$2:$F$23,3,FALSE)</f>
        <v>3/25 @ 9am</v>
      </c>
      <c r="F105" s="10">
        <f>VLOOKUP(A105,'6-Sue'!$A$1:$H$38,7,FALSE)</f>
        <v>0</v>
      </c>
      <c r="G105" s="3" t="str">
        <f>VLOOKUP(A105,'6-Sue'!$A$2:$F$23,4,FALSE)</f>
        <v>offer lunch</v>
      </c>
      <c r="H105" s="3">
        <f>VLOOKUP(A105,'6-Sue'!$A$2:$F$23,5,FALSE)</f>
        <v>3</v>
      </c>
      <c r="I105" s="3" t="str">
        <f>VLOOKUP(A105,'6-Sue'!$A$2:$F$23,6,FALSE)</f>
        <v>-</v>
      </c>
      <c r="J105" s="3">
        <f>VLOOKUP(A105,'6-Sue'!$A$1:$H$38,8,FALSE)</f>
        <v>0</v>
      </c>
    </row>
    <row r="106" spans="1:10" x14ac:dyDescent="0.35">
      <c r="A106" s="4" t="s">
        <v>689</v>
      </c>
      <c r="B106" s="4" t="s">
        <v>690</v>
      </c>
      <c r="C106" t="s">
        <v>293</v>
      </c>
      <c r="D106" s="3">
        <f>_xlfn.XLOOKUP(C106,'Territory List'!$D$2:$D$352,'Territory List'!$G$2:$G$352)</f>
        <v>6</v>
      </c>
      <c r="E106" s="10" t="str">
        <f>VLOOKUP(A106,'6-Sue'!$A$2:$F$23,3,FALSE)</f>
        <v>tent 3/24</v>
      </c>
      <c r="F106" s="10">
        <f>VLOOKUP(A106,'6-Sue'!$A$1:$H$38,7,FALSE)</f>
        <v>0</v>
      </c>
      <c r="G106" s="3" t="str">
        <f>VLOOKUP(A106,'6-Sue'!$A$2:$F$23,4,FALSE)</f>
        <v>-</v>
      </c>
      <c r="H106" s="3" t="str">
        <f>VLOOKUP(A106,'6-Sue'!$A$2:$F$23,5,FALSE)</f>
        <v>-</v>
      </c>
      <c r="I106" s="3" t="str">
        <f>VLOOKUP(A106,'6-Sue'!$A$2:$F$23,6,FALSE)</f>
        <v>-</v>
      </c>
      <c r="J106" s="3">
        <f>VLOOKUP(A106,'6-Sue'!$A$1:$H$38,8,FALSE)</f>
        <v>0</v>
      </c>
    </row>
    <row r="107" spans="1:10" x14ac:dyDescent="0.35">
      <c r="A107" s="4" t="s">
        <v>636</v>
      </c>
      <c r="B107" s="4" t="s">
        <v>637</v>
      </c>
      <c r="C107" t="s">
        <v>288</v>
      </c>
      <c r="D107" s="3">
        <f>_xlfn.XLOOKUP(C107,'Territory List'!$D$2:$D$352,'Territory List'!$G$2:$G$352)</f>
        <v>6</v>
      </c>
      <c r="E107" s="10" t="str">
        <f>VLOOKUP(A107,'6-Sue'!$A$2:$F$23,3,FALSE)</f>
        <v>-</v>
      </c>
      <c r="F107" s="10">
        <f>VLOOKUP(A107,'6-Sue'!$A$1:$H$38,7,FALSE)</f>
        <v>0</v>
      </c>
      <c r="G107" s="3" t="str">
        <f>VLOOKUP(A107,'6-Sue'!$A$2:$F$23,4,FALSE)</f>
        <v>Spoke to Michelle, reach out in 2 months (5-11-26)  Offer lunch</v>
      </c>
      <c r="H107" s="3">
        <f>VLOOKUP(A107,'6-Sue'!$A$2:$F$23,5,FALSE)</f>
        <v>3</v>
      </c>
      <c r="I107" s="3" t="str">
        <f>VLOOKUP(A107,'6-Sue'!$A$2:$F$23,6,FALSE)</f>
        <v>-</v>
      </c>
      <c r="J107" s="3">
        <f>VLOOKUP(A107,'6-Sue'!$A$1:$H$38,8,FALSE)</f>
        <v>0</v>
      </c>
    </row>
    <row r="108" spans="1:10" x14ac:dyDescent="0.35">
      <c r="A108" s="4" t="s">
        <v>593</v>
      </c>
      <c r="B108" s="4" t="s">
        <v>594</v>
      </c>
      <c r="C108" t="s">
        <v>285</v>
      </c>
      <c r="D108" s="3">
        <f>_xlfn.XLOOKUP(C108,'Territory List'!$D$2:$D$352,'Territory List'!$G$2:$G$352)</f>
        <v>6</v>
      </c>
      <c r="E108" s="10" t="str">
        <f>VLOOKUP(A108,'6-Sue'!$A$2:$F$23,3,FALSE)</f>
        <v>3/26 @ 11:30</v>
      </c>
      <c r="F108" s="10">
        <f>VLOOKUP(A108,'6-Sue'!$A$1:$H$38,7,FALSE)</f>
        <v>0</v>
      </c>
      <c r="G108" s="3" t="str">
        <f>VLOOKUP(A108,'6-Sue'!$A$2:$F$23,4,FALSE)</f>
        <v>-</v>
      </c>
      <c r="H108" s="3">
        <f>VLOOKUP(A108,'6-Sue'!$A$2:$F$23,5,FALSE)</f>
        <v>3</v>
      </c>
      <c r="I108" s="3" t="str">
        <f>VLOOKUP(A108,'6-Sue'!$A$2:$F$23,6,FALSE)</f>
        <v>-</v>
      </c>
      <c r="J108" s="3">
        <f>VLOOKUP(A108,'6-Sue'!$A$1:$H$38,8,FALSE)</f>
        <v>0</v>
      </c>
    </row>
    <row r="109" spans="1:10" x14ac:dyDescent="0.35">
      <c r="A109" s="4" t="s">
        <v>505</v>
      </c>
      <c r="B109" s="4" t="s">
        <v>932</v>
      </c>
      <c r="C109" t="s">
        <v>279</v>
      </c>
      <c r="D109" s="3">
        <f>_xlfn.XLOOKUP(C109,'Territory List'!$D$2:$D$352,'Territory List'!$G$2:$G$352)</f>
        <v>6</v>
      </c>
      <c r="E109" s="10" t="str">
        <f>VLOOKUP(A109,'6-Sue'!$A$2:$F$23,3,FALSE)</f>
        <v>4/14 @1:30</v>
      </c>
      <c r="F109" s="10">
        <f>VLOOKUP(A109,'6-Sue'!$A$1:$H$38,7,FALSE)</f>
        <v>0</v>
      </c>
      <c r="G109" s="3" t="str">
        <f>VLOOKUP(A109,'6-Sue'!$A$2:$F$23,4,FALSE)</f>
        <v>-</v>
      </c>
      <c r="H109" s="3" t="str">
        <f>VLOOKUP(A109,'6-Sue'!$A$2:$F$23,5,FALSE)</f>
        <v>-</v>
      </c>
      <c r="I109" s="3" t="str">
        <f>VLOOKUP(A109,'6-Sue'!$A$2:$F$23,6,FALSE)</f>
        <v>-</v>
      </c>
      <c r="J109" s="3">
        <f>VLOOKUP(A109,'6-Sue'!$A$1:$H$38,8,FALSE)</f>
        <v>0</v>
      </c>
    </row>
    <row r="110" spans="1:10" x14ac:dyDescent="0.35">
      <c r="A110" s="4" t="s">
        <v>498</v>
      </c>
      <c r="B110" s="4" t="s">
        <v>499</v>
      </c>
      <c r="C110" t="s">
        <v>278</v>
      </c>
      <c r="D110" s="3">
        <f>_xlfn.XLOOKUP(C110,'Territory List'!$D$2:$D$352,'Territory List'!$G$2:$G$352)</f>
        <v>6</v>
      </c>
      <c r="E110" s="10" t="str">
        <f>VLOOKUP(A110,'6-Sue'!$A$2:$F$23,3,FALSE)</f>
        <v>3/31 @ 11:30am</v>
      </c>
      <c r="F110" s="10">
        <f>VLOOKUP(A110,'6-Sue'!$A$1:$H$38,7,FALSE)</f>
        <v>0</v>
      </c>
      <c r="G110" s="3" t="str">
        <f>VLOOKUP(A110,'6-Sue'!$A$2:$F$23,4,FALSE)</f>
        <v>-</v>
      </c>
      <c r="H110" s="3">
        <f>VLOOKUP(A110,'6-Sue'!$A$2:$F$23,5,FALSE)</f>
        <v>3</v>
      </c>
      <c r="I110" s="3" t="str">
        <f>VLOOKUP(A110,'6-Sue'!$A$2:$F$23,6,FALSE)</f>
        <v>-</v>
      </c>
      <c r="J110" s="3">
        <f>VLOOKUP(A110,'6-Sue'!$A$1:$H$38,8,FALSE)</f>
        <v>0</v>
      </c>
    </row>
    <row r="111" spans="1:10" x14ac:dyDescent="0.35">
      <c r="A111" s="4" t="s">
        <v>450</v>
      </c>
      <c r="B111" s="4" t="s">
        <v>451</v>
      </c>
      <c r="C111" t="s">
        <v>276</v>
      </c>
      <c r="D111" s="3">
        <f>_xlfn.XLOOKUP(C111,'Territory List'!$D$2:$D$352,'Territory List'!$G$2:$G$352)</f>
        <v>6</v>
      </c>
      <c r="E111" s="10" t="str">
        <f>VLOOKUP(A111,'6-Sue'!$A$2:$F$23,3,FALSE)</f>
        <v>3/31 @ 10am</v>
      </c>
      <c r="F111" s="10">
        <f>VLOOKUP(A111,'6-Sue'!$A$1:$H$38,7,FALSE)</f>
        <v>0</v>
      </c>
      <c r="G111" s="3">
        <f>VLOOKUP(A111,'6-Sue'!$A$2:$F$23,4,FALSE)</f>
        <v>0</v>
      </c>
      <c r="H111" s="3">
        <f>VLOOKUP(A111,'6-Sue'!$A$2:$F$23,5,FALSE)</f>
        <v>3</v>
      </c>
      <c r="I111" s="3" t="str">
        <f>VLOOKUP(A111,'6-Sue'!$A$2:$F$23,6,FALSE)</f>
        <v>-</v>
      </c>
      <c r="J111" s="3">
        <f>VLOOKUP(A111,'6-Sue'!$A$1:$H$38,8,FALSE)</f>
        <v>0</v>
      </c>
    </row>
    <row r="112" spans="1:10" x14ac:dyDescent="0.35">
      <c r="A112" s="4" t="s">
        <v>436</v>
      </c>
      <c r="B112" s="4" t="s">
        <v>437</v>
      </c>
      <c r="C112" t="s">
        <v>275</v>
      </c>
      <c r="D112" s="3">
        <f>_xlfn.XLOOKUP(C112,'Territory List'!$D$2:$D$352,'Territory List'!$G$2:$G$352)</f>
        <v>6</v>
      </c>
      <c r="E112" s="10" t="str">
        <f>VLOOKUP(A112,'6-Sue'!$A$2:$F$23,3,FALSE)</f>
        <v>4/1 @ 11:30am</v>
      </c>
      <c r="F112" s="10">
        <f>VLOOKUP(A112,'6-Sue'!$A$1:$H$38,7,FALSE)</f>
        <v>0</v>
      </c>
      <c r="G112" s="3" t="str">
        <f>VLOOKUP(A112,'6-Sue'!$A$2:$F$23,4,FALSE)</f>
        <v>-</v>
      </c>
      <c r="H112" s="3" t="str">
        <f>VLOOKUP(A112,'6-Sue'!$A$2:$F$23,5,FALSE)</f>
        <v>-</v>
      </c>
      <c r="I112" s="3" t="str">
        <f>VLOOKUP(A112,'6-Sue'!$A$2:$F$23,6,FALSE)</f>
        <v>-</v>
      </c>
      <c r="J112" s="3">
        <f>VLOOKUP(A112,'6-Sue'!$A$1:$H$38,8,FALSE)</f>
        <v>0</v>
      </c>
    </row>
    <row r="113" spans="1:10" x14ac:dyDescent="0.35">
      <c r="A113" s="4" t="s">
        <v>434</v>
      </c>
      <c r="B113" s="4" t="s">
        <v>435</v>
      </c>
      <c r="C113" t="s">
        <v>274</v>
      </c>
      <c r="D113" s="3">
        <f>_xlfn.XLOOKUP(C113,'Territory List'!$D$2:$D$352,'Territory List'!$G$2:$G$352)</f>
        <v>6</v>
      </c>
      <c r="E113" s="10">
        <f>VLOOKUP(A113,'6-Sue'!$A$2:$F$23,3,FALSE)</f>
        <v>46106</v>
      </c>
      <c r="F113" s="10">
        <f>VLOOKUP(A113,'6-Sue'!$A$1:$H$38,7,FALSE)</f>
        <v>0</v>
      </c>
      <c r="G113" s="3" t="str">
        <f>VLOOKUP(A113,'6-Sue'!$A$2:$F$23,4,FALSE)</f>
        <v>-</v>
      </c>
      <c r="H113" s="3">
        <f>VLOOKUP(A113,'6-Sue'!$A$2:$F$23,5,FALSE)</f>
        <v>3</v>
      </c>
      <c r="I113" s="3" t="str">
        <f>VLOOKUP(A113,'6-Sue'!$A$2:$F$23,6,FALSE)</f>
        <v>-</v>
      </c>
      <c r="J113" s="3">
        <f>VLOOKUP(A113,'6-Sue'!$A$1:$H$38,8,FALSE)</f>
        <v>0</v>
      </c>
    </row>
    <row r="114" spans="1:10" x14ac:dyDescent="0.35">
      <c r="A114" s="4" t="s">
        <v>406</v>
      </c>
      <c r="B114" s="4" t="s">
        <v>407</v>
      </c>
      <c r="C114" t="s">
        <v>271</v>
      </c>
      <c r="D114" s="3">
        <f>_xlfn.XLOOKUP(C114,'Territory List'!$D$2:$D$352,'Territory List'!$G$2:$G$352)</f>
        <v>6</v>
      </c>
      <c r="E114" s="10" t="str">
        <f>VLOOKUP(A114,'6-Sue'!$A$2:$F$23,3,FALSE)</f>
        <v>3/17/26 @ 1:30</v>
      </c>
      <c r="F114" s="10">
        <f>VLOOKUP(A114,'6-Sue'!$A$1:$H$38,7,FALSE)</f>
        <v>0</v>
      </c>
      <c r="G114" s="3" t="str">
        <f>VLOOKUP(A114,'6-Sue'!$A$2:$F$23,4,FALSE)</f>
        <v>-</v>
      </c>
      <c r="H114" s="3" t="str">
        <f>VLOOKUP(A114,'6-Sue'!$A$2:$F$23,5,FALSE)</f>
        <v>-</v>
      </c>
      <c r="I114" s="3" t="str">
        <f>VLOOKUP(A114,'6-Sue'!$A$2:$F$23,6,FALSE)</f>
        <v>-</v>
      </c>
      <c r="J114" s="3">
        <f>VLOOKUP(A114,'6-Sue'!$A$1:$H$38,8,FALSE)</f>
        <v>0</v>
      </c>
    </row>
    <row r="115" spans="1:10" x14ac:dyDescent="0.35">
      <c r="A115" s="4" t="s">
        <v>1026</v>
      </c>
      <c r="B115" s="4" t="s">
        <v>512</v>
      </c>
      <c r="C115" t="s">
        <v>312</v>
      </c>
      <c r="D115" s="3">
        <f>_xlfn.XLOOKUP(C115,'Territory List'!$D$2:$D$352,'Territory List'!$G$2:$G$352)</f>
        <v>7</v>
      </c>
      <c r="E115" s="10" t="e">
        <f>VLOOKUP(A115,'7-Brian'!$A$2:$F$39,3,FALSE)</f>
        <v>#N/A</v>
      </c>
      <c r="F115" s="10" t="e">
        <f>VLOOKUP(A115,'7-Brian'!$A$1:$H$55,7,FALSE)</f>
        <v>#N/A</v>
      </c>
      <c r="G115" s="3" t="e">
        <f>VLOOKUP(A115,'7-Brian'!$A$2:$F$39,4,FALSE)</f>
        <v>#N/A</v>
      </c>
      <c r="H115" s="3" t="e">
        <f>VLOOKUP(A115,'7-Brian'!$A$2:$F$39,5,FALSE)</f>
        <v>#N/A</v>
      </c>
      <c r="I115" s="3" t="e">
        <f>VLOOKUP(A115,'7-Brian'!$A$2:$F$39,6,FALSE)</f>
        <v>#N/A</v>
      </c>
      <c r="J115" s="3">
        <f>_xlfn.IFNA(VLOOKUP(A115,'13-Michelle'!$A$1:$H$35,8,FALSE),0)</f>
        <v>0</v>
      </c>
    </row>
    <row r="116" spans="1:10" x14ac:dyDescent="0.35">
      <c r="A116" s="4" t="s">
        <v>927</v>
      </c>
      <c r="B116" s="4" t="s">
        <v>512</v>
      </c>
      <c r="C116" t="s">
        <v>312</v>
      </c>
      <c r="D116" s="3">
        <f>_xlfn.XLOOKUP(C116,'Territory List'!$D$2:$D$352,'Territory List'!$G$2:$G$352)</f>
        <v>7</v>
      </c>
      <c r="E116" s="10" t="str">
        <f>VLOOKUP(A116,'7-Brian'!$A$2:$F$39,3,FALSE)</f>
        <v>NOT FUNDED</v>
      </c>
      <c r="F116" s="10">
        <f>VLOOKUP(A116,'7-Brian'!$A$1:$H$55,7,FALSE)</f>
        <v>0</v>
      </c>
      <c r="G116" s="3" t="str">
        <f>VLOOKUP(A116,'7-Brian'!$A$2:$F$39,4,FALSE)</f>
        <v>NOT FUNDED</v>
      </c>
      <c r="H116" s="3" t="str">
        <f>VLOOKUP(A116,'7-Brian'!$A$2:$F$39,5,FALSE)</f>
        <v>-</v>
      </c>
      <c r="I116" s="3" t="str">
        <f>VLOOKUP(A116,'7-Brian'!$A$2:$F$39,6,FALSE)</f>
        <v>-</v>
      </c>
      <c r="J116" s="3">
        <f>VLOOKUP(A116,'7-Brian'!$A$1:$H$55,8,FALSE)</f>
        <v>0</v>
      </c>
    </row>
    <row r="117" spans="1:10" x14ac:dyDescent="0.35">
      <c r="A117" s="4" t="s">
        <v>1027</v>
      </c>
      <c r="B117" s="4"/>
      <c r="D117" s="3">
        <v>7</v>
      </c>
      <c r="E117" s="10" t="str">
        <f>VLOOKUP(A117,'7-Brian'!$A$2:$F$39,3,FALSE)</f>
        <v>-</v>
      </c>
      <c r="F117" s="10">
        <f>VLOOKUP(A117,'7-Brian'!$A$1:$H$55,7,FALSE)</f>
        <v>0</v>
      </c>
      <c r="G117" s="3" t="str">
        <f>VLOOKUP(A117,'7-Brian'!$A$2:$F$39,4,FALSE)</f>
        <v>-</v>
      </c>
      <c r="H117" s="3" t="str">
        <f>VLOOKUP(A117,'7-Brian'!$A$2:$F$39,5,FALSE)</f>
        <v>-</v>
      </c>
      <c r="I117" s="3" t="str">
        <f>VLOOKUP(A117,'7-Brian'!$A$2:$F$39,6,FALSE)</f>
        <v>-</v>
      </c>
      <c r="J117" s="3">
        <f>_xlfn.IFNA(VLOOKUP(A117,'13-Michelle'!$A$1:$H$35,8,FALSE),0)</f>
        <v>0</v>
      </c>
    </row>
    <row r="118" spans="1:10" x14ac:dyDescent="0.35">
      <c r="A118" s="4" t="s">
        <v>926</v>
      </c>
      <c r="B118" s="4" t="s">
        <v>512</v>
      </c>
      <c r="C118" t="s">
        <v>312</v>
      </c>
      <c r="D118" s="3">
        <f>_xlfn.XLOOKUP(C118,'Territory List'!$D$2:$D$352,'Territory List'!$G$2:$G$352)</f>
        <v>7</v>
      </c>
      <c r="E118" s="10" t="str">
        <f>VLOOKUP(A118,'7-Brian'!$A$2:$F$39,3,FALSE)</f>
        <v>no answer</v>
      </c>
      <c r="F118" s="10">
        <f>VLOOKUP(A118,'7-Brian'!$A$1:$H$55,7,FALSE)</f>
        <v>0</v>
      </c>
      <c r="G118" s="3" t="str">
        <f>VLOOKUP(A118,'7-Brian'!$A$2:$F$39,4,FALSE)</f>
        <v>-</v>
      </c>
      <c r="H118" s="3" t="str">
        <f>VLOOKUP(A118,'7-Brian'!$A$2:$F$39,5,FALSE)</f>
        <v>-</v>
      </c>
      <c r="I118" s="3" t="str">
        <f>VLOOKUP(A118,'7-Brian'!$A$2:$F$39,6,FALSE)</f>
        <v>2 advisors</v>
      </c>
      <c r="J118" s="3">
        <f>VLOOKUP(A118,'7-Brian'!$A$1:$H$55,8,FALSE)</f>
        <v>0</v>
      </c>
    </row>
    <row r="119" spans="1:10" x14ac:dyDescent="0.35">
      <c r="A119" s="4" t="s">
        <v>877</v>
      </c>
      <c r="B119" s="4" t="s">
        <v>284</v>
      </c>
      <c r="C119" t="s">
        <v>284</v>
      </c>
      <c r="D119" s="3">
        <f>_xlfn.XLOOKUP(C119,'Territory List'!$D$2:$D$352,'Territory List'!$G$2:$G$352)</f>
        <v>7</v>
      </c>
      <c r="E119" s="10" t="str">
        <f>VLOOKUP(A119,'7-Brian'!$A$2:$F$39,3,FALSE)</f>
        <v>email out</v>
      </c>
      <c r="F119" s="10">
        <f>VLOOKUP(A119,'7-Brian'!$A$1:$H$55,7,FALSE)</f>
        <v>0</v>
      </c>
      <c r="G119" s="3">
        <f>VLOOKUP(A119,'7-Brian'!$A$2:$F$39,4,FALSE)</f>
        <v>0</v>
      </c>
      <c r="H119" s="3" t="str">
        <f>VLOOKUP(A119,'7-Brian'!$A$2:$F$39,5,FALSE)</f>
        <v>-</v>
      </c>
      <c r="I119" s="3" t="str">
        <f>VLOOKUP(A119,'7-Brian'!$A$2:$F$39,6,FALSE)</f>
        <v>-</v>
      </c>
      <c r="J119" s="3">
        <f>VLOOKUP(A119,'7-Brian'!$A$1:$H$55,8,FALSE)</f>
        <v>0</v>
      </c>
    </row>
    <row r="120" spans="1:10" x14ac:dyDescent="0.35">
      <c r="A120" s="4" t="s">
        <v>875</v>
      </c>
      <c r="B120" s="4" t="s">
        <v>876</v>
      </c>
      <c r="C120" t="s">
        <v>305</v>
      </c>
      <c r="D120" s="3">
        <f>_xlfn.XLOOKUP(C120,'Territory List'!$D$2:$D$352,'Territory List'!$G$2:$G$352)</f>
        <v>7</v>
      </c>
      <c r="E120" s="10">
        <f>VLOOKUP(A120,'7-Brian'!$A$2:$F$39,3,FALSE)</f>
        <v>46146</v>
      </c>
      <c r="F120" s="10">
        <f>VLOOKUP(A120,'7-Brian'!$A$1:$H$55,7,FALSE)</f>
        <v>0</v>
      </c>
      <c r="G120" s="3" t="str">
        <f>VLOOKUP(A120,'7-Brian'!$A$2:$F$39,4,FALSE)</f>
        <v>Annual</v>
      </c>
      <c r="H120" s="3">
        <f>VLOOKUP(A120,'7-Brian'!$A$2:$F$39,5,FALSE)</f>
        <v>3</v>
      </c>
      <c r="I120" s="3" t="str">
        <f>VLOOKUP(A120,'7-Brian'!$A$2:$F$39,6,FALSE)</f>
        <v>-</v>
      </c>
      <c r="J120" s="3">
        <f>VLOOKUP(A120,'7-Brian'!$A$1:$H$55,8,FALSE)</f>
        <v>0</v>
      </c>
    </row>
    <row r="121" spans="1:10" x14ac:dyDescent="0.35">
      <c r="A121" s="4" t="s">
        <v>1025</v>
      </c>
      <c r="B121" s="4" t="s">
        <v>876</v>
      </c>
      <c r="C121" t="s">
        <v>305</v>
      </c>
      <c r="D121" s="3">
        <v>7</v>
      </c>
      <c r="E121" s="10" t="e">
        <f>VLOOKUP(A121,'7-Brian'!$A$2:$F$39,3,FALSE)</f>
        <v>#N/A</v>
      </c>
      <c r="F121" s="10" t="e">
        <f>VLOOKUP(A121,'7-Brian'!$A$1:$H$55,7,FALSE)</f>
        <v>#N/A</v>
      </c>
      <c r="G121" s="3" t="e">
        <f>VLOOKUP(A121,'7-Brian'!$A$2:$F$39,4,FALSE)</f>
        <v>#N/A</v>
      </c>
      <c r="H121" s="3" t="e">
        <f>VLOOKUP(A121,'7-Brian'!$A$2:$F$39,5,FALSE)</f>
        <v>#N/A</v>
      </c>
      <c r="I121" s="3" t="e">
        <f>VLOOKUP(A121,'7-Brian'!$A$2:$F$39,6,FALSE)</f>
        <v>#N/A</v>
      </c>
      <c r="J121" s="3">
        <f>_xlfn.IFNA(VLOOKUP(A121,'13-Michelle'!$A$1:$H$35,8,FALSE),0)</f>
        <v>0</v>
      </c>
    </row>
    <row r="122" spans="1:10" x14ac:dyDescent="0.35">
      <c r="A122" s="4" t="s">
        <v>873</v>
      </c>
      <c r="B122" s="4" t="s">
        <v>874</v>
      </c>
      <c r="C122" t="s">
        <v>304</v>
      </c>
      <c r="D122" s="3">
        <f>_xlfn.XLOOKUP(C122,'Territory List'!$D$2:$D$352,'Territory List'!$G$2:$G$352)</f>
        <v>7</v>
      </c>
      <c r="E122" s="10">
        <f>VLOOKUP(A122,'7-Brian'!$A$2:$F$39,3,FALSE)</f>
        <v>46111</v>
      </c>
      <c r="F122" s="10" t="str">
        <f>VLOOKUP(A122,'7-Brian'!$A$1:$H$55,7,FALSE)</f>
        <v>9/1/26?</v>
      </c>
      <c r="G122" s="3" t="str">
        <f>VLOOKUP(A122,'7-Brian'!$A$2:$F$39,4,FALSE)</f>
        <v xml:space="preserve"> </v>
      </c>
      <c r="H122" s="3">
        <f>VLOOKUP(A122,'7-Brian'!$A$2:$F$39,5,FALSE)</f>
        <v>3</v>
      </c>
      <c r="I122" s="3" t="str">
        <f>VLOOKUP(A122,'7-Brian'!$A$2:$F$39,6,FALSE)</f>
        <v>-</v>
      </c>
      <c r="J122" s="3">
        <f>VLOOKUP(A122,'7-Brian'!$A$1:$H$55,8,FALSE)</f>
        <v>0</v>
      </c>
    </row>
    <row r="123" spans="1:10" x14ac:dyDescent="0.35">
      <c r="A123" s="4" t="s">
        <v>866</v>
      </c>
      <c r="B123" s="4" t="s">
        <v>512</v>
      </c>
      <c r="C123" t="s">
        <v>312</v>
      </c>
      <c r="D123" s="3">
        <f>_xlfn.XLOOKUP(C123,'Territory List'!$D$2:$D$352,'Territory List'!$G$2:$G$352)</f>
        <v>7</v>
      </c>
      <c r="E123" s="10">
        <f>VLOOKUP(A123,'7-Brian'!$A$2:$F$39,3,FALSE)</f>
        <v>46085</v>
      </c>
      <c r="F123" s="10">
        <f>VLOOKUP(A123,'7-Brian'!$A$1:$H$55,7,FALSE)</f>
        <v>0</v>
      </c>
      <c r="G123" s="3" t="str">
        <f>VLOOKUP(A123,'7-Brian'!$A$2:$F$39,4,FALSE)</f>
        <v>-</v>
      </c>
      <c r="H123" s="3" t="str">
        <f>VLOOKUP(A123,'7-Brian'!$A$2:$F$39,5,FALSE)</f>
        <v>12?</v>
      </c>
      <c r="I123" s="3" t="str">
        <f>VLOOKUP(A123,'7-Brian'!$A$2:$F$39,6,FALSE)</f>
        <v>-</v>
      </c>
      <c r="J123" s="3">
        <f>VLOOKUP(A123,'7-Brian'!$A$1:$H$55,8,FALSE)</f>
        <v>0</v>
      </c>
    </row>
    <row r="124" spans="1:10" x14ac:dyDescent="0.35">
      <c r="A124" s="4" t="s">
        <v>855</v>
      </c>
      <c r="B124" s="4" t="s">
        <v>856</v>
      </c>
      <c r="C124" t="s">
        <v>303</v>
      </c>
      <c r="D124" s="3">
        <f>_xlfn.XLOOKUP(C124,'Territory List'!$D$2:$D$352,'Territory List'!$G$2:$G$352)</f>
        <v>7</v>
      </c>
      <c r="E124" s="10">
        <f>VLOOKUP(A124,'7-Brian'!$A$2:$F$39,3,FALSE)</f>
        <v>46051</v>
      </c>
      <c r="F124" s="10">
        <f>VLOOKUP(A124,'7-Brian'!$A$1:$H$55,7,FALSE)</f>
        <v>0</v>
      </c>
      <c r="G124" s="3" t="str">
        <f>VLOOKUP(A124,'7-Brian'!$A$2:$F$39,4,FALSE)</f>
        <v>-</v>
      </c>
      <c r="H124" s="3">
        <f>VLOOKUP(A124,'7-Brian'!$A$2:$F$39,5,FALSE)</f>
        <v>8</v>
      </c>
      <c r="I124" s="3" t="str">
        <f>VLOOKUP(A124,'7-Brian'!$A$2:$F$39,6,FALSE)</f>
        <v>2 advisors</v>
      </c>
      <c r="J124" s="3">
        <f>VLOOKUP(A124,'7-Brian'!$A$1:$H$55,8,FALSE)</f>
        <v>0</v>
      </c>
    </row>
    <row r="125" spans="1:10" x14ac:dyDescent="0.35">
      <c r="A125" s="4" t="s">
        <v>832</v>
      </c>
      <c r="B125" s="4" t="s">
        <v>833</v>
      </c>
      <c r="C125" t="s">
        <v>301</v>
      </c>
      <c r="D125" s="3">
        <f>_xlfn.XLOOKUP(C125,'Territory List'!$D$2:$D$352,'Territory List'!$G$2:$G$352)</f>
        <v>7</v>
      </c>
      <c r="E125" s="10">
        <f>VLOOKUP(A125,'7-Brian'!$A$2:$F$39,3,FALSE)</f>
        <v>46199</v>
      </c>
      <c r="F125" s="10">
        <f>VLOOKUP(A125,'7-Brian'!$A$1:$H$55,7,FALSE)</f>
        <v>0</v>
      </c>
      <c r="G125" s="3" t="str">
        <f>VLOOKUP(A125,'7-Brian'!$A$2:$F$39,4,FALSE)</f>
        <v>-</v>
      </c>
      <c r="H125" s="3" t="str">
        <f>VLOOKUP(A125,'7-Brian'!$A$2:$F$39,5,FALSE)</f>
        <v>-</v>
      </c>
      <c r="I125" s="3" t="str">
        <f>VLOOKUP(A125,'7-Brian'!$A$2:$F$39,6,FALSE)</f>
        <v>-</v>
      </c>
      <c r="J125" s="3">
        <f>VLOOKUP(A125,'7-Brian'!$A$1:$H$55,8,FALSE)</f>
        <v>0</v>
      </c>
    </row>
    <row r="126" spans="1:10" x14ac:dyDescent="0.35">
      <c r="A126" s="4" t="s">
        <v>817</v>
      </c>
      <c r="B126" s="4" t="s">
        <v>558</v>
      </c>
      <c r="C126" t="s">
        <v>281</v>
      </c>
      <c r="D126" s="3">
        <f>_xlfn.XLOOKUP(C126,'Territory List'!$D$2:$D$352,'Territory List'!$G$2:$G$352)</f>
        <v>7</v>
      </c>
      <c r="E126" s="10">
        <f>VLOOKUP(A126,'7-Brian'!$A$2:$F$39,3,FALSE)</f>
        <v>46139</v>
      </c>
      <c r="F126" s="10">
        <f>VLOOKUP(A126,'7-Brian'!$A$1:$H$55,7,FALSE)</f>
        <v>0</v>
      </c>
      <c r="G126" s="3" t="str">
        <f>VLOOKUP(A126,'7-Brian'!$A$2:$F$39,4,FALSE)</f>
        <v>-</v>
      </c>
      <c r="H126" s="3" t="str">
        <f>VLOOKUP(A126,'7-Brian'!$A$2:$F$39,5,FALSE)</f>
        <v>-</v>
      </c>
      <c r="I126" s="3" t="str">
        <f>VLOOKUP(A126,'7-Brian'!$A$2:$F$39,6,FALSE)</f>
        <v>-</v>
      </c>
      <c r="J126" s="3">
        <f>VLOOKUP(A126,'7-Brian'!$A$1:$H$55,8,FALSE)</f>
        <v>0</v>
      </c>
    </row>
    <row r="127" spans="1:10" x14ac:dyDescent="0.35">
      <c r="A127" s="4" t="s">
        <v>807</v>
      </c>
      <c r="B127" s="4" t="s">
        <v>808</v>
      </c>
      <c r="C127" t="s">
        <v>299</v>
      </c>
      <c r="D127" s="3">
        <f>_xlfn.XLOOKUP(C127,'Territory List'!$D$2:$D$352,'Territory List'!$G$2:$G$352)</f>
        <v>7</v>
      </c>
      <c r="E127" s="10">
        <f>VLOOKUP(A127,'7-Brian'!$A$2:$F$39,3,FALSE)</f>
        <v>46157</v>
      </c>
      <c r="F127" s="10">
        <f>VLOOKUP(A127,'7-Brian'!$A$1:$H$55,7,FALSE)</f>
        <v>0</v>
      </c>
      <c r="G127" s="3" t="str">
        <f>VLOOKUP(A127,'7-Brian'!$A$2:$F$39,4,FALSE)</f>
        <v>-</v>
      </c>
      <c r="H127" s="3" t="str">
        <f>VLOOKUP(A127,'7-Brian'!$A$2:$F$39,5,FALSE)</f>
        <v>-</v>
      </c>
      <c r="I127" s="3" t="str">
        <f>VLOOKUP(A127,'7-Brian'!$A$2:$F$39,6,FALSE)</f>
        <v>Kathleen</v>
      </c>
      <c r="J127" s="3">
        <f>VLOOKUP(A127,'7-Brian'!$A$1:$H$55,8,FALSE)</f>
        <v>0</v>
      </c>
    </row>
    <row r="128" spans="1:10" x14ac:dyDescent="0.35">
      <c r="A128" s="4" t="s">
        <v>761</v>
      </c>
      <c r="B128" s="4" t="s">
        <v>512</v>
      </c>
      <c r="C128" t="s">
        <v>312</v>
      </c>
      <c r="D128" s="3">
        <f>_xlfn.XLOOKUP(C128,'Territory List'!$D$2:$D$352,'Territory List'!$G$2:$G$352)</f>
        <v>7</v>
      </c>
      <c r="E128" s="10">
        <f>VLOOKUP(A128,'7-Brian'!$A$2:$F$39,3,FALSE)</f>
        <v>46127</v>
      </c>
      <c r="F128" s="10">
        <f>VLOOKUP(A128,'7-Brian'!$A$1:$H$55,7,FALSE)</f>
        <v>0</v>
      </c>
      <c r="G128" s="3" t="str">
        <f>VLOOKUP(A128,'7-Brian'!$A$2:$F$39,4,FALSE)</f>
        <v xml:space="preserve"> </v>
      </c>
      <c r="H128" s="3">
        <f>VLOOKUP(A128,'7-Brian'!$A$2:$F$39,5,FALSE)</f>
        <v>8</v>
      </c>
      <c r="I128" s="3" t="str">
        <f>VLOOKUP(A128,'7-Brian'!$A$2:$F$39,6,FALSE)</f>
        <v>2 advisors</v>
      </c>
      <c r="J128" s="3">
        <f>VLOOKUP(A128,'7-Brian'!$A$1:$H$55,8,FALSE)</f>
        <v>0</v>
      </c>
    </row>
    <row r="129" spans="1:10" x14ac:dyDescent="0.35">
      <c r="A129" s="4" t="s">
        <v>743</v>
      </c>
      <c r="B129" s="4" t="s">
        <v>744</v>
      </c>
      <c r="C129" t="s">
        <v>297</v>
      </c>
      <c r="D129" s="3">
        <f>_xlfn.XLOOKUP(C129,'Territory List'!$D$2:$D$352,'Territory List'!$G$2:$G$352)</f>
        <v>7</v>
      </c>
      <c r="E129" s="10">
        <f>VLOOKUP(A129,'7-Brian'!$A$2:$F$39,3,FALSE)</f>
        <v>46113</v>
      </c>
      <c r="F129" s="10">
        <f>VLOOKUP(A129,'7-Brian'!$A$1:$H$55,7,FALSE)</f>
        <v>46274</v>
      </c>
      <c r="G129" s="3" t="str">
        <f>VLOOKUP(A129,'7-Brian'!$A$2:$F$39,4,FALSE)</f>
        <v>-</v>
      </c>
      <c r="H129" s="3" t="str">
        <f>VLOOKUP(A129,'7-Brian'!$A$2:$F$39,5,FALSE)</f>
        <v>-</v>
      </c>
      <c r="I129" s="3" t="str">
        <f>VLOOKUP(A129,'7-Brian'!$A$2:$F$39,6,FALSE)</f>
        <v>-</v>
      </c>
      <c r="J129" s="3">
        <f>VLOOKUP(A129,'7-Brian'!$A$1:$H$55,8,FALSE)</f>
        <v>0</v>
      </c>
    </row>
    <row r="130" spans="1:10" x14ac:dyDescent="0.35">
      <c r="A130" s="4" t="s">
        <v>740</v>
      </c>
      <c r="B130" s="4" t="s">
        <v>739</v>
      </c>
      <c r="C130" t="s">
        <v>295</v>
      </c>
      <c r="D130" s="3">
        <f>_xlfn.XLOOKUP(C130,'Territory List'!$D$2:$D$352,'Territory List'!$G$2:$G$352)</f>
        <v>7</v>
      </c>
      <c r="E130" s="10">
        <f>VLOOKUP(A130,'7-Brian'!$A$2:$F$39,3,FALSE)</f>
        <v>46121</v>
      </c>
      <c r="F130" s="10">
        <f>VLOOKUP(A130,'7-Brian'!$A$1:$H$55,7,FALSE)</f>
        <v>46296</v>
      </c>
      <c r="G130" s="3" t="str">
        <f>VLOOKUP(A130,'7-Brian'!$A$2:$F$39,4,FALSE)</f>
        <v>-</v>
      </c>
      <c r="H130" s="3" t="str">
        <f>VLOOKUP(A130,'7-Brian'!$A$2:$F$39,5,FALSE)</f>
        <v>-</v>
      </c>
      <c r="I130" s="3" t="str">
        <f>VLOOKUP(A130,'7-Brian'!$A$2:$F$39,6,FALSE)</f>
        <v>-</v>
      </c>
      <c r="J130" s="3">
        <f>VLOOKUP(A130,'7-Brian'!$A$1:$H$55,8,FALSE)</f>
        <v>0</v>
      </c>
    </row>
    <row r="131" spans="1:10" x14ac:dyDescent="0.35">
      <c r="A131" s="4" t="s">
        <v>738</v>
      </c>
      <c r="B131" s="4" t="s">
        <v>739</v>
      </c>
      <c r="C131" t="s">
        <v>295</v>
      </c>
      <c r="D131" s="3">
        <f>_xlfn.XLOOKUP(C131,'Territory List'!$D$2:$D$352,'Territory List'!$G$2:$G$352)</f>
        <v>7</v>
      </c>
      <c r="E131" s="10">
        <f>VLOOKUP(A131,'7-Brian'!$A$2:$F$39,3,FALSE)</f>
        <v>46098</v>
      </c>
      <c r="F131" s="10" t="str">
        <f>VLOOKUP(A131,'7-Brian'!$A$1:$H$55,7,FALSE)</f>
        <v>9/17/26?</v>
      </c>
      <c r="G131" s="3" t="str">
        <f>VLOOKUP(A131,'7-Brian'!$A$2:$F$39,4,FALSE)</f>
        <v xml:space="preserve">Meet with the Library BD with Treasurer Prudent Acct. 6 copies </v>
      </c>
      <c r="H131" s="3" t="str">
        <f>VLOOKUP(A131,'7-Brian'!$A$2:$F$39,5,FALSE)</f>
        <v>-</v>
      </c>
      <c r="I131" s="3" t="str">
        <f>VLOOKUP(A131,'7-Brian'!$A$2:$F$39,6,FALSE)</f>
        <v>-</v>
      </c>
      <c r="J131" s="3">
        <f>VLOOKUP(A131,'7-Brian'!$A$1:$H$55,8,FALSE)</f>
        <v>0</v>
      </c>
    </row>
    <row r="132" spans="1:10" x14ac:dyDescent="0.35">
      <c r="A132" s="4" t="s">
        <v>720</v>
      </c>
      <c r="B132" s="4" t="s">
        <v>962</v>
      </c>
      <c r="C132" t="s">
        <v>294</v>
      </c>
      <c r="D132" s="3">
        <f>_xlfn.XLOOKUP(C132,'Territory List'!$D$2:$D$352,'Territory List'!$G$2:$G$352)</f>
        <v>7</v>
      </c>
      <c r="E132" s="10" t="str">
        <f>VLOOKUP(A132,'7-Brian'!$A$2:$F$39,3,FALSE)</f>
        <v>email out</v>
      </c>
      <c r="F132" s="10">
        <f>VLOOKUP(A132,'7-Brian'!$A$1:$H$55,7,FALSE)</f>
        <v>0</v>
      </c>
      <c r="G132" s="3" t="str">
        <f>VLOOKUP(A132,'7-Brian'!$A$2:$F$39,4,FALSE)</f>
        <v>-</v>
      </c>
      <c r="H132" s="3" t="str">
        <f>VLOOKUP(A132,'7-Brian'!$A$2:$F$39,5,FALSE)</f>
        <v>-</v>
      </c>
      <c r="I132" s="3" t="str">
        <f>VLOOKUP(A132,'7-Brian'!$A$2:$F$39,6,FALSE)</f>
        <v>-</v>
      </c>
      <c r="J132" s="3">
        <f>VLOOKUP(A132,'7-Brian'!$A$1:$H$55,8,FALSE)</f>
        <v>0</v>
      </c>
    </row>
    <row r="133" spans="1:10" x14ac:dyDescent="0.35">
      <c r="A133" s="4" t="s">
        <v>683</v>
      </c>
      <c r="B133" s="4" t="s">
        <v>684</v>
      </c>
      <c r="C133" t="s">
        <v>292</v>
      </c>
      <c r="D133" s="3">
        <f>_xlfn.XLOOKUP(C133,'Territory List'!$D$2:$D$352,'Territory List'!$G$2:$G$352)</f>
        <v>7</v>
      </c>
      <c r="E133" s="10" t="str">
        <f>VLOOKUP(A133,'7-Brian'!$A$2:$F$39,3,FALSE)</f>
        <v>email out</v>
      </c>
      <c r="F133" s="10">
        <f>VLOOKUP(A133,'7-Brian'!$A$1:$H$55,7,FALSE)</f>
        <v>0</v>
      </c>
      <c r="G133" s="3">
        <f>VLOOKUP(A133,'7-Brian'!$A$2:$F$39,4,FALSE)</f>
        <v>0</v>
      </c>
      <c r="H133" s="3" t="str">
        <f>VLOOKUP(A133,'7-Brian'!$A$2:$F$39,5,FALSE)</f>
        <v>-</v>
      </c>
      <c r="I133" s="3" t="str">
        <f>VLOOKUP(A133,'7-Brian'!$A$2:$F$39,6,FALSE)</f>
        <v>-</v>
      </c>
      <c r="J133" s="3">
        <f>VLOOKUP(A133,'7-Brian'!$A$1:$H$55,8,FALSE)</f>
        <v>0</v>
      </c>
    </row>
    <row r="134" spans="1:10" x14ac:dyDescent="0.35">
      <c r="A134" s="4" t="s">
        <v>679</v>
      </c>
      <c r="B134" s="4" t="s">
        <v>680</v>
      </c>
      <c r="C134" t="s">
        <v>291</v>
      </c>
      <c r="D134" s="3">
        <f>_xlfn.XLOOKUP(C134,'Territory List'!$D$2:$D$352,'Territory List'!$G$2:$G$352)</f>
        <v>7</v>
      </c>
      <c r="E134" s="10">
        <f>VLOOKUP(A134,'7-Brian'!$A$2:$F$39,3,FALSE)</f>
        <v>46111</v>
      </c>
      <c r="F134" s="10" t="str">
        <f>VLOOKUP(A134,'7-Brian'!$A$1:$H$55,7,FALSE)</f>
        <v>9/17/26?</v>
      </c>
      <c r="G134" s="3" t="str">
        <f>VLOOKUP(A134,'7-Brian'!$A$2:$F$39,4,FALSE)</f>
        <v xml:space="preserve"> </v>
      </c>
      <c r="H134" s="3" t="str">
        <f>VLOOKUP(A134,'7-Brian'!$A$2:$F$39,5,FALSE)</f>
        <v>-</v>
      </c>
      <c r="I134" s="3" t="str">
        <f>VLOOKUP(A134,'7-Brian'!$A$2:$F$39,6,FALSE)</f>
        <v>-</v>
      </c>
      <c r="J134" s="3">
        <f>VLOOKUP(A134,'7-Brian'!$A$1:$H$55,8,FALSE)</f>
        <v>0</v>
      </c>
    </row>
    <row r="135" spans="1:10" x14ac:dyDescent="0.35">
      <c r="A135" s="4" t="s">
        <v>677</v>
      </c>
      <c r="B135" s="4" t="s">
        <v>678</v>
      </c>
      <c r="C135" t="s">
        <v>290</v>
      </c>
      <c r="D135" s="3">
        <f>_xlfn.XLOOKUP(C135,'Territory List'!$D$2:$D$352,'Territory List'!$G$2:$G$352)</f>
        <v>7</v>
      </c>
      <c r="E135" s="10">
        <f>VLOOKUP(A135,'7-Brian'!$A$2:$F$39,3,FALSE)</f>
        <v>46112</v>
      </c>
      <c r="F135" s="10">
        <f>VLOOKUP(A135,'7-Brian'!$A$1:$H$55,7,FALSE)</f>
        <v>46279</v>
      </c>
      <c r="G135" s="3" t="str">
        <f>VLOOKUP(A135,'7-Brian'!$A$2:$F$39,4,FALSE)</f>
        <v>-</v>
      </c>
      <c r="H135" s="3">
        <f>VLOOKUP(A135,'7-Brian'!$A$2:$F$39,5,FALSE)</f>
        <v>4</v>
      </c>
      <c r="I135" s="3" t="str">
        <f>VLOOKUP(A135,'7-Brian'!$A$2:$F$39,6,FALSE)</f>
        <v>-</v>
      </c>
      <c r="J135" s="3">
        <f>VLOOKUP(A135,'7-Brian'!$A$1:$H$55,8,FALSE)</f>
        <v>0</v>
      </c>
    </row>
    <row r="136" spans="1:10" x14ac:dyDescent="0.35">
      <c r="A136" s="4" t="s">
        <v>666</v>
      </c>
      <c r="B136" s="4" t="s">
        <v>667</v>
      </c>
      <c r="C136" t="s">
        <v>289</v>
      </c>
      <c r="D136" s="3">
        <f>_xlfn.XLOOKUP(C136,'Territory List'!$D$2:$D$352,'Territory List'!$G$2:$G$352)</f>
        <v>7</v>
      </c>
      <c r="E136" s="10">
        <f>VLOOKUP(A136,'7-Brian'!$A$2:$F$39,3,FALSE)</f>
        <v>46111</v>
      </c>
      <c r="F136" s="10" t="str">
        <f>VLOOKUP(A136,'7-Brian'!$A$1:$H$55,7,FALSE)</f>
        <v>9/14/26?</v>
      </c>
      <c r="G136" s="3" t="str">
        <f>VLOOKUP(A136,'7-Brian'!$A$2:$F$39,4,FALSE)</f>
        <v>-</v>
      </c>
      <c r="H136" s="3">
        <f>VLOOKUP(A136,'7-Brian'!$A$2:$F$39,5,FALSE)</f>
        <v>3</v>
      </c>
      <c r="I136" s="3" t="str">
        <f>VLOOKUP(A136,'7-Brian'!$A$2:$F$39,6,FALSE)</f>
        <v>-</v>
      </c>
      <c r="J136" s="3">
        <f>VLOOKUP(A136,'7-Brian'!$A$1:$H$55,8,FALSE)</f>
        <v>0</v>
      </c>
    </row>
    <row r="137" spans="1:10" x14ac:dyDescent="0.35">
      <c r="A137" s="4" t="s">
        <v>620</v>
      </c>
      <c r="B137" s="4" t="s">
        <v>460</v>
      </c>
      <c r="C137" t="s">
        <v>287</v>
      </c>
      <c r="D137" s="3">
        <f>_xlfn.XLOOKUP(C137,'Territory List'!$D$2:$D$352,'Territory List'!$G$2:$G$352)</f>
        <v>7</v>
      </c>
      <c r="E137" s="10">
        <f>VLOOKUP(A137,'7-Brian'!$A$2:$F$39,3,FALSE)</f>
        <v>46113</v>
      </c>
      <c r="F137" s="10">
        <f>VLOOKUP(A137,'7-Brian'!$A$1:$H$55,7,FALSE)</f>
        <v>46274</v>
      </c>
      <c r="G137" s="3" t="str">
        <f>VLOOKUP(A137,'7-Brian'!$A$2:$F$39,4,FALSE)</f>
        <v>-</v>
      </c>
      <c r="H137" s="3" t="str">
        <f>VLOOKUP(A137,'7-Brian'!$A$2:$F$39,5,FALSE)</f>
        <v>-</v>
      </c>
      <c r="I137" s="3" t="str">
        <f>VLOOKUP(A137,'7-Brian'!$A$2:$F$39,6,FALSE)</f>
        <v>-</v>
      </c>
      <c r="J137" s="3">
        <f>VLOOKUP(A137,'7-Brian'!$A$1:$H$55,8,FALSE)</f>
        <v>0</v>
      </c>
    </row>
    <row r="138" spans="1:10" x14ac:dyDescent="0.35">
      <c r="A138" s="4" t="s">
        <v>619</v>
      </c>
      <c r="B138" s="4" t="s">
        <v>460</v>
      </c>
      <c r="C138" t="s">
        <v>287</v>
      </c>
      <c r="D138" s="3">
        <f>_xlfn.XLOOKUP(C138,'Territory List'!$D$2:$D$352,'Territory List'!$G$2:$G$352)</f>
        <v>7</v>
      </c>
      <c r="E138" s="10">
        <f>VLOOKUP(A138,'7-Brian'!$A$2:$F$39,3,FALSE)</f>
        <v>46121</v>
      </c>
      <c r="F138" s="10" t="str">
        <f>VLOOKUP(A138,'7-Brian'!$A$1:$H$55,7,FALSE)</f>
        <v>9/9/26?</v>
      </c>
      <c r="G138" s="3" t="str">
        <f>VLOOKUP(A138,'7-Brian'!$A$2:$F$39,4,FALSE)</f>
        <v>-</v>
      </c>
      <c r="H138" s="3" t="str">
        <f>VLOOKUP(A138,'7-Brian'!$A$2:$F$39,5,FALSE)</f>
        <v>-</v>
      </c>
      <c r="I138" s="3" t="str">
        <f>VLOOKUP(A138,'7-Brian'!$A$2:$F$39,6,FALSE)</f>
        <v>-</v>
      </c>
      <c r="J138" s="3">
        <f>VLOOKUP(A138,'7-Brian'!$A$1:$H$55,8,FALSE)</f>
        <v>0</v>
      </c>
    </row>
    <row r="139" spans="1:10" x14ac:dyDescent="0.35">
      <c r="A139" s="4" t="s">
        <v>618</v>
      </c>
      <c r="B139" s="4" t="s">
        <v>460</v>
      </c>
      <c r="C139" t="s">
        <v>287</v>
      </c>
      <c r="D139" s="3">
        <f>_xlfn.XLOOKUP(C139,'Territory List'!$D$2:$D$352,'Territory List'!$G$2:$G$352)</f>
        <v>7</v>
      </c>
      <c r="E139" s="10">
        <f>VLOOKUP(A139,'7-Brian'!$A$2:$F$39,3,FALSE)</f>
        <v>46161</v>
      </c>
      <c r="F139" s="10">
        <f>VLOOKUP(A139,'7-Brian'!$A$1:$H$55,7,FALSE)</f>
        <v>0</v>
      </c>
      <c r="G139" s="3" t="str">
        <f>VLOOKUP(A139,'7-Brian'!$A$2:$F$39,4,FALSE)</f>
        <v>-</v>
      </c>
      <c r="H139" s="3" t="str">
        <f>VLOOKUP(A139,'7-Brian'!$A$2:$F$39,5,FALSE)</f>
        <v>-</v>
      </c>
      <c r="I139" s="3" t="str">
        <f>VLOOKUP(A139,'7-Brian'!$A$2:$F$39,6,FALSE)</f>
        <v>-</v>
      </c>
      <c r="J139" s="3">
        <f>VLOOKUP(A139,'7-Brian'!$A$1:$H$55,8,FALSE)</f>
        <v>0</v>
      </c>
    </row>
    <row r="140" spans="1:10" x14ac:dyDescent="0.35">
      <c r="A140" s="4" t="s">
        <v>597</v>
      </c>
      <c r="B140" s="4" t="s">
        <v>598</v>
      </c>
      <c r="C140" t="s">
        <v>286</v>
      </c>
      <c r="D140" s="3">
        <f>_xlfn.XLOOKUP(C140,'Territory List'!$D$2:$D$352,'Territory List'!$G$2:$G$352)</f>
        <v>7</v>
      </c>
      <c r="E140" s="10">
        <f>VLOOKUP(A140,'7-Brian'!$A$2:$F$39,3,FALSE)</f>
        <v>46111</v>
      </c>
      <c r="F140" s="10" t="str">
        <f>VLOOKUP(A140,'7-Brian'!$A$1:$H$55,7,FALSE)</f>
        <v>9/14/26?</v>
      </c>
      <c r="G140" s="3" t="str">
        <f>VLOOKUP(A140,'7-Brian'!$A$2:$F$39,4,FALSE)</f>
        <v>one click send</v>
      </c>
      <c r="H140" s="3">
        <f>VLOOKUP(A140,'7-Brian'!$A$2:$F$39,5,FALSE)</f>
        <v>1</v>
      </c>
      <c r="I140" s="3" t="str">
        <f>VLOOKUP(A140,'7-Brian'!$A$2:$F$39,6,FALSE)</f>
        <v>-</v>
      </c>
      <c r="J140" s="3">
        <f>VLOOKUP(A140,'7-Brian'!$A$1:$H$55,8,FALSE)</f>
        <v>0</v>
      </c>
    </row>
    <row r="141" spans="1:10" x14ac:dyDescent="0.35">
      <c r="A141" s="4" t="s">
        <v>591</v>
      </c>
      <c r="B141" s="4" t="s">
        <v>592</v>
      </c>
      <c r="C141" t="s">
        <v>284</v>
      </c>
      <c r="D141" s="3">
        <f>_xlfn.XLOOKUP(C141,'Territory List'!$D$2:$D$352,'Territory List'!$G$2:$G$352)</f>
        <v>7</v>
      </c>
      <c r="E141" s="10">
        <f>VLOOKUP(A141,'7-Brian'!$A$2:$F$39,3,FALSE)</f>
        <v>46122</v>
      </c>
      <c r="F141" s="10">
        <f>VLOOKUP(A141,'7-Brian'!$A$1:$H$55,7,FALSE)</f>
        <v>46265</v>
      </c>
      <c r="G141" s="3" t="str">
        <f>VLOOKUP(A141,'7-Brian'!$A$2:$F$39,4,FALSE)</f>
        <v>-</v>
      </c>
      <c r="H141" s="3" t="str">
        <f>VLOOKUP(A141,'7-Brian'!$A$2:$F$39,5,FALSE)</f>
        <v>-</v>
      </c>
      <c r="I141" s="3" t="str">
        <f>VLOOKUP(A141,'7-Brian'!$A$2:$F$39,6,FALSE)</f>
        <v>-</v>
      </c>
      <c r="J141" s="3">
        <f>VLOOKUP(A141,'7-Brian'!$A$1:$H$55,8,FALSE)</f>
        <v>0</v>
      </c>
    </row>
    <row r="142" spans="1:10" x14ac:dyDescent="0.35">
      <c r="A142" s="4" t="s">
        <v>588</v>
      </c>
      <c r="B142" s="4" t="s">
        <v>460</v>
      </c>
      <c r="C142" t="s">
        <v>287</v>
      </c>
      <c r="D142" s="3">
        <f>_xlfn.XLOOKUP(C142,'Territory List'!$D$2:$D$352,'Territory List'!$G$2:$G$352)</f>
        <v>7</v>
      </c>
      <c r="E142" s="10">
        <f>VLOOKUP(A142,'7-Brian'!$A$2:$F$39,3,FALSE)</f>
        <v>46121</v>
      </c>
      <c r="F142" s="10">
        <f>VLOOKUP(A142,'7-Brian'!$A$1:$H$55,7,FALSE)</f>
        <v>46296</v>
      </c>
      <c r="G142" s="3" t="str">
        <f>VLOOKUP(A142,'7-Brian'!$A$2:$F$39,4,FALSE)</f>
        <v>-</v>
      </c>
      <c r="H142" s="3" t="str">
        <f>VLOOKUP(A142,'7-Brian'!$A$2:$F$39,5,FALSE)</f>
        <v>-</v>
      </c>
      <c r="I142" s="3" t="str">
        <f>VLOOKUP(A142,'7-Brian'!$A$2:$F$39,6,FALSE)</f>
        <v>-</v>
      </c>
      <c r="J142" s="3">
        <f>VLOOKUP(A142,'7-Brian'!$A$1:$H$55,8,FALSE)</f>
        <v>0</v>
      </c>
    </row>
    <row r="143" spans="1:10" x14ac:dyDescent="0.35">
      <c r="A143" s="4" t="s">
        <v>559</v>
      </c>
      <c r="B143" s="4" t="s">
        <v>558</v>
      </c>
      <c r="C143" t="s">
        <v>281</v>
      </c>
      <c r="D143" s="3">
        <f>_xlfn.XLOOKUP(C143,'Territory List'!$D$2:$D$352,'Territory List'!$G$2:$G$352)</f>
        <v>7</v>
      </c>
      <c r="E143" s="10">
        <f>VLOOKUP(A143,'7-Brian'!$A$2:$F$39,3,FALSE)</f>
        <v>46141</v>
      </c>
      <c r="F143" s="10" t="str">
        <f>VLOOKUP(A143,'7-Brian'!$A$1:$H$55,7,FALSE)</f>
        <v>9/1/26?</v>
      </c>
      <c r="G143" s="3" t="str">
        <f>VLOOKUP(A143,'7-Brian'!$A$2:$F$39,4,FALSE)</f>
        <v>-</v>
      </c>
      <c r="H143" s="3">
        <f>VLOOKUP(A143,'7-Brian'!$A$2:$F$39,5,FALSE)</f>
        <v>6</v>
      </c>
      <c r="I143" s="3" t="str">
        <f>VLOOKUP(A143,'7-Brian'!$A$2:$F$39,6,FALSE)</f>
        <v>-</v>
      </c>
      <c r="J143" s="3">
        <f>VLOOKUP(A143,'7-Brian'!$A$1:$H$55,8,FALSE)</f>
        <v>0</v>
      </c>
    </row>
    <row r="144" spans="1:10" x14ac:dyDescent="0.35">
      <c r="A144" s="4" t="s">
        <v>557</v>
      </c>
      <c r="B144" s="4" t="s">
        <v>558</v>
      </c>
      <c r="C144" t="s">
        <v>281</v>
      </c>
      <c r="D144" s="3">
        <f>_xlfn.XLOOKUP(C144,'Territory List'!$D$2:$D$352,'Territory List'!$G$2:$G$352)</f>
        <v>7</v>
      </c>
      <c r="E144" s="10">
        <f>VLOOKUP(A144,'7-Brian'!$A$2:$F$39,3,FALSE)</f>
        <v>46139</v>
      </c>
      <c r="F144" s="10">
        <f>VLOOKUP(A144,'7-Brian'!$A$1:$H$55,7,FALSE)</f>
        <v>0</v>
      </c>
      <c r="G144" s="3" t="str">
        <f>VLOOKUP(A144,'7-Brian'!$A$2:$F$39,4,FALSE)</f>
        <v xml:space="preserve"> </v>
      </c>
      <c r="H144" s="3" t="str">
        <f>VLOOKUP(A144,'7-Brian'!$A$2:$F$39,5,FALSE)</f>
        <v>-</v>
      </c>
      <c r="I144" s="3" t="str">
        <f>VLOOKUP(A144,'7-Brian'!$A$2:$F$39,6,FALSE)</f>
        <v>-</v>
      </c>
      <c r="J144" s="3">
        <f>VLOOKUP(A144,'7-Brian'!$A$1:$H$55,8,FALSE)</f>
        <v>0</v>
      </c>
    </row>
    <row r="145" spans="1:10" x14ac:dyDescent="0.35">
      <c r="A145" s="4" t="s">
        <v>511</v>
      </c>
      <c r="B145" s="4" t="s">
        <v>512</v>
      </c>
      <c r="C145" t="s">
        <v>312</v>
      </c>
      <c r="D145" s="3">
        <f>_xlfn.XLOOKUP(C145,'Territory List'!$D$2:$D$352,'Territory List'!$G$2:$G$352)</f>
        <v>7</v>
      </c>
      <c r="E145" s="10">
        <f>VLOOKUP(A145,'7-Brian'!$A$2:$F$39,3,FALSE)</f>
        <v>46035</v>
      </c>
      <c r="F145" s="10">
        <f>VLOOKUP(A145,'7-Brian'!$A$1:$H$55,7,FALSE)</f>
        <v>0</v>
      </c>
      <c r="G145" s="3" t="str">
        <f>VLOOKUP(A145,'7-Brian'!$A$2:$F$39,4,FALSE)</f>
        <v>-</v>
      </c>
      <c r="H145" s="3" t="str">
        <f>VLOOKUP(A145,'7-Brian'!$A$2:$F$39,5,FALSE)</f>
        <v>-</v>
      </c>
      <c r="I145" s="3" t="str">
        <f>VLOOKUP(A145,'7-Brian'!$A$2:$F$39,6,FALSE)</f>
        <v>2 advisors</v>
      </c>
      <c r="J145" s="3">
        <f>VLOOKUP(A145,'7-Brian'!$A$1:$H$55,8,FALSE)</f>
        <v>0</v>
      </c>
    </row>
    <row r="146" spans="1:10" x14ac:dyDescent="0.35">
      <c r="A146" s="4" t="s">
        <v>492</v>
      </c>
      <c r="B146" s="4" t="s">
        <v>493</v>
      </c>
      <c r="C146" t="s">
        <v>277</v>
      </c>
      <c r="D146" s="3">
        <f>_xlfn.XLOOKUP(C146,'Territory List'!$D$2:$D$352,'Territory List'!$G$2:$G$352)</f>
        <v>7</v>
      </c>
      <c r="E146" s="10">
        <f>VLOOKUP(A146,'7-Brian'!$A$2:$F$39,3,FALSE)</f>
        <v>46112</v>
      </c>
      <c r="F146" s="10">
        <f>VLOOKUP(A146,'7-Brian'!$A$1:$H$55,7,FALSE)</f>
        <v>0</v>
      </c>
      <c r="G146" s="3" t="str">
        <f>VLOOKUP(A146,'7-Brian'!$A$2:$F$39,4,FALSE)</f>
        <v>-</v>
      </c>
      <c r="H146" s="3" t="str">
        <f>VLOOKUP(A146,'7-Brian'!$A$2:$F$39,5,FALSE)</f>
        <v>-</v>
      </c>
      <c r="I146" s="3" t="str">
        <f>VLOOKUP(A146,'7-Brian'!$A$2:$F$39,6,FALSE)</f>
        <v>-</v>
      </c>
      <c r="J146" s="3">
        <f>VLOOKUP(A146,'7-Brian'!$A$1:$H$55,8,FALSE)</f>
        <v>0</v>
      </c>
    </row>
    <row r="147" spans="1:10" x14ac:dyDescent="0.35">
      <c r="A147" s="4" t="s">
        <v>459</v>
      </c>
      <c r="B147" s="4" t="s">
        <v>460</v>
      </c>
      <c r="C147" t="s">
        <v>287</v>
      </c>
      <c r="D147" s="3">
        <f>_xlfn.XLOOKUP(C147,'Territory List'!$D$2:$D$352,'Territory List'!$G$2:$G$352)</f>
        <v>7</v>
      </c>
      <c r="E147" s="10">
        <f>VLOOKUP(A147,'7-Brian'!$A$2:$F$39,3,FALSE)</f>
        <v>46113</v>
      </c>
      <c r="F147" s="10" t="str">
        <f>VLOOKUP(A147,'7-Brian'!$A$1:$H$55,7,FALSE)</f>
        <v>9/17/26?</v>
      </c>
      <c r="G147" s="3" t="str">
        <f>VLOOKUP(A147,'7-Brian'!$A$2:$F$39,4,FALSE)</f>
        <v>-</v>
      </c>
      <c r="H147" s="3" t="str">
        <f>VLOOKUP(A147,'7-Brian'!$A$2:$F$39,5,FALSE)</f>
        <v>-</v>
      </c>
      <c r="I147" s="3" t="str">
        <f>VLOOKUP(A147,'7-Brian'!$A$2:$F$39,6,FALSE)</f>
        <v>-</v>
      </c>
      <c r="J147" s="3">
        <f>VLOOKUP(A147,'7-Brian'!$A$1:$H$55,8,FALSE)</f>
        <v>0</v>
      </c>
    </row>
    <row r="148" spans="1:10" x14ac:dyDescent="0.35">
      <c r="A148" s="4" t="s">
        <v>458</v>
      </c>
      <c r="B148" s="4" t="s">
        <v>287</v>
      </c>
      <c r="C148" t="s">
        <v>287</v>
      </c>
      <c r="D148" s="3">
        <f>_xlfn.XLOOKUP(C148,'Territory List'!$D$2:$D$352,'Territory List'!$G$2:$G$352)</f>
        <v>7</v>
      </c>
      <c r="E148" s="10">
        <f>VLOOKUP(A148,'7-Brian'!$A$2:$F$39,3,FALSE)</f>
        <v>46113</v>
      </c>
      <c r="F148" s="10">
        <f>VLOOKUP(A148,'7-Brian'!$A$1:$H$55,7,FALSE)</f>
        <v>0</v>
      </c>
      <c r="G148" s="3" t="str">
        <f>VLOOKUP(A148,'7-Brian'!$A$2:$F$39,4,FALSE)</f>
        <v>-</v>
      </c>
      <c r="H148" s="3" t="str">
        <f>VLOOKUP(A148,'7-Brian'!$A$2:$F$39,5,FALSE)</f>
        <v>-</v>
      </c>
      <c r="I148" s="3" t="str">
        <f>VLOOKUP(A148,'7-Brian'!$A$2:$F$39,6,FALSE)</f>
        <v>-</v>
      </c>
      <c r="J148" s="3">
        <f>VLOOKUP(A148,'7-Brian'!$A$1:$H$55,8,FALSE)</f>
        <v>0</v>
      </c>
    </row>
    <row r="149" spans="1:10" x14ac:dyDescent="0.35">
      <c r="A149" s="4" t="s">
        <v>418</v>
      </c>
      <c r="B149" s="4" t="s">
        <v>419</v>
      </c>
      <c r="C149" t="s">
        <v>273</v>
      </c>
      <c r="D149" s="3">
        <f>_xlfn.XLOOKUP(C149,'Territory List'!$D$2:$D$352,'Territory List'!$G$2:$G$352)</f>
        <v>7</v>
      </c>
      <c r="E149" s="10">
        <f>VLOOKUP(A149,'7-Brian'!$A$2:$F$39,3,FALSE)</f>
        <v>46112</v>
      </c>
      <c r="F149" s="10">
        <f>VLOOKUP(A149,'7-Brian'!$A$1:$H$55,7,FALSE)</f>
        <v>46266</v>
      </c>
      <c r="G149" s="3" t="str">
        <f>VLOOKUP(A149,'7-Brian'!$A$2:$F$39,4,FALSE)</f>
        <v xml:space="preserve"> </v>
      </c>
      <c r="H149" s="3">
        <f>VLOOKUP(A149,'7-Brian'!$A$2:$F$39,5,FALSE)</f>
        <v>3</v>
      </c>
      <c r="I149" s="3" t="str">
        <f>VLOOKUP(A149,'7-Brian'!$A$2:$F$39,6,FALSE)</f>
        <v>-</v>
      </c>
      <c r="J149" s="3">
        <f>VLOOKUP(A149,'7-Brian'!$A$1:$H$55,8,FALSE)</f>
        <v>0</v>
      </c>
    </row>
    <row r="150" spans="1:10" x14ac:dyDescent="0.35">
      <c r="A150" s="4" t="s">
        <v>408</v>
      </c>
      <c r="B150" s="4" t="s">
        <v>409</v>
      </c>
      <c r="C150" t="s">
        <v>272</v>
      </c>
      <c r="D150" s="3">
        <f>_xlfn.XLOOKUP(C150,'Territory List'!$D$2:$D$352,'Territory List'!$G$2:$G$352)</f>
        <v>7</v>
      </c>
      <c r="E150" s="10">
        <f>VLOOKUP(A150,'7-Brian'!$A$2:$F$39,3,FALSE)</f>
        <v>46146</v>
      </c>
      <c r="F150" s="10" t="str">
        <f>VLOOKUP(A150,'7-Brian'!$A$1:$H$55,7,FALSE)</f>
        <v>9/14/26?</v>
      </c>
      <c r="G150" s="3">
        <f>VLOOKUP(A150,'7-Brian'!$A$2:$F$39,4,FALSE)</f>
        <v>0</v>
      </c>
      <c r="H150" s="3">
        <f>VLOOKUP(A150,'7-Brian'!$A$2:$F$39,5,FALSE)</f>
        <v>1</v>
      </c>
      <c r="I150" s="3" t="str">
        <f>VLOOKUP(A150,'7-Brian'!$A$2:$F$39,6,FALSE)</f>
        <v>-</v>
      </c>
      <c r="J150" s="3">
        <f>VLOOKUP(A150,'7-Brian'!$A$1:$H$55,8,FALSE)</f>
        <v>0</v>
      </c>
    </row>
    <row r="151" spans="1:10" x14ac:dyDescent="0.35">
      <c r="A151" s="4" t="s">
        <v>391</v>
      </c>
      <c r="B151" s="4" t="s">
        <v>392</v>
      </c>
      <c r="C151" t="s">
        <v>270</v>
      </c>
      <c r="D151" s="3">
        <f>_xlfn.XLOOKUP(C151,'Territory List'!$D$2:$D$352,'Territory List'!$G$2:$G$352)</f>
        <v>7</v>
      </c>
      <c r="E151" s="10">
        <f>VLOOKUP(A151,'7-Brian'!$A$2:$F$39,3,FALSE)</f>
        <v>46104</v>
      </c>
      <c r="F151" s="10" t="str">
        <f>VLOOKUP(A151,'7-Brian'!$A$1:$H$55,7,FALSE)</f>
        <v>9/17/26?</v>
      </c>
      <c r="G151" s="3" t="str">
        <f>VLOOKUP(A151,'7-Brian'!$A$2:$F$39,4,FALSE)</f>
        <v>-</v>
      </c>
      <c r="H151" s="3">
        <f>VLOOKUP(A151,'7-Brian'!$A$2:$F$39,5,FALSE)</f>
        <v>3</v>
      </c>
      <c r="I151" s="3" t="str">
        <f>VLOOKUP(A151,'7-Brian'!$A$2:$F$39,6,FALSE)</f>
        <v>-</v>
      </c>
      <c r="J151" s="3">
        <f>VLOOKUP(A151,'7-Brian'!$A$1:$H$55,8,FALSE)</f>
        <v>0</v>
      </c>
    </row>
    <row r="152" spans="1:10" x14ac:dyDescent="0.35">
      <c r="A152" s="4" t="s">
        <v>893</v>
      </c>
      <c r="B152" s="4" t="s">
        <v>528</v>
      </c>
      <c r="C152" t="s">
        <v>136</v>
      </c>
      <c r="D152" s="3">
        <f>_xlfn.XLOOKUP(C152,'Territory List'!$D$2:$D$352,'Territory List'!$G$2:$G$352)</f>
        <v>8</v>
      </c>
      <c r="E152" s="10">
        <f>VLOOKUP(A152,'8-Kath'!$A$2:$G$32,3,FALSE)</f>
        <v>46104</v>
      </c>
      <c r="F152" s="10">
        <f>VLOOKUP(A152,'8-Kath'!$A$2:$H$47,7,FALSE)</f>
        <v>0</v>
      </c>
      <c r="G152" s="3">
        <f>VLOOKUP(A152,'8-Kath'!$A$2:$G$32,4,FALSE)</f>
        <v>0</v>
      </c>
      <c r="H152" s="3" t="str">
        <f>VLOOKUP(A152,'8-Kath'!$A$2:$G$32,5,FALSE)</f>
        <v>-</v>
      </c>
      <c r="I152" s="3" t="str">
        <f>VLOOKUP(A152,'8-Kath'!$A$2:$G$32,6,FALSE)</f>
        <v>-</v>
      </c>
      <c r="J152" s="3">
        <f>VLOOKUP(A152,'8-Kath'!$A$2:$H$47,8,FALSE)</f>
        <v>1</v>
      </c>
    </row>
    <row r="153" spans="1:10" x14ac:dyDescent="0.35">
      <c r="A153" s="4" t="s">
        <v>892</v>
      </c>
      <c r="B153" s="4" t="s">
        <v>528</v>
      </c>
      <c r="C153" t="s">
        <v>136</v>
      </c>
      <c r="D153" s="3">
        <f>_xlfn.XLOOKUP(C153,'Territory List'!$D$2:$D$352,'Territory List'!$G$2:$G$352)</f>
        <v>8</v>
      </c>
      <c r="E153" s="10">
        <f>VLOOKUP(A153,'8-Kath'!$A$2:$G$32,3,FALSE)</f>
        <v>46204</v>
      </c>
      <c r="F153" s="10">
        <f>VLOOKUP(A153,'8-Kath'!$A$2:$H$47,7,FALSE)</f>
        <v>46204</v>
      </c>
      <c r="G153" s="3" t="str">
        <f>VLOOKUP(A153,'8-Kath'!$A$2:$G$32,4,FALSE)</f>
        <v xml:space="preserve">Brian/ introduce another advisor Sole </v>
      </c>
      <c r="H153" s="3" t="str">
        <f>VLOOKUP(A153,'8-Kath'!$A$2:$G$32,5,FALSE)</f>
        <v>-</v>
      </c>
      <c r="I153" s="3" t="str">
        <f>VLOOKUP(A153,'8-Kath'!$A$2:$G$32,6,FALSE)</f>
        <v>-</v>
      </c>
      <c r="J153" s="3">
        <f>VLOOKUP(A153,'8-Kath'!$A$2:$H$47,8,FALSE)</f>
        <v>1</v>
      </c>
    </row>
    <row r="154" spans="1:10" x14ac:dyDescent="0.35">
      <c r="A154" s="4" t="s">
        <v>847</v>
      </c>
      <c r="B154" s="4" t="s">
        <v>845</v>
      </c>
      <c r="C154" t="s">
        <v>133</v>
      </c>
      <c r="D154" s="3">
        <f>_xlfn.XLOOKUP(C154,'Territory List'!$D$2:$D$352,'Territory List'!$G$2:$G$352)</f>
        <v>8</v>
      </c>
      <c r="E154" s="10" t="str">
        <f>VLOOKUP(A154,'8-Kath'!$A$2:$G$32,3,FALSE)</f>
        <v>-</v>
      </c>
      <c r="F154" s="10">
        <f>VLOOKUP(A154,'8-Kath'!$A$2:$H$47,7,FALSE)</f>
        <v>0</v>
      </c>
      <c r="G154" s="3" t="str">
        <f>VLOOKUP(A154,'8-Kath'!$A$2:$G$32,4,FALSE)</f>
        <v>Morgan new treasurer/Maureen Chair</v>
      </c>
      <c r="H154" s="3" t="str">
        <f>VLOOKUP(A154,'8-Kath'!$A$2:$G$32,5,FALSE)</f>
        <v>-</v>
      </c>
      <c r="I154" s="3" t="str">
        <f>VLOOKUP(A154,'8-Kath'!$A$2:$G$32,6,FALSE)</f>
        <v>2 advisors</v>
      </c>
      <c r="J154" s="3">
        <f>VLOOKUP(A154,'8-Kath'!$A$2:$H$47,8,FALSE)</f>
        <v>0</v>
      </c>
    </row>
    <row r="155" spans="1:10" x14ac:dyDescent="0.35">
      <c r="A155" s="4" t="s">
        <v>846</v>
      </c>
      <c r="B155" s="4" t="s">
        <v>845</v>
      </c>
      <c r="C155" t="s">
        <v>133</v>
      </c>
      <c r="D155" s="3">
        <f>_xlfn.XLOOKUP(C155,'Territory List'!$D$2:$D$352,'Territory List'!$G$2:$G$352)</f>
        <v>8</v>
      </c>
      <c r="E155" s="10">
        <f>VLOOKUP(A155,'8-Kath'!$A$2:$G$32,3,FALSE)</f>
        <v>46163</v>
      </c>
      <c r="F155" s="10">
        <f>VLOOKUP(A155,'8-Kath'!$A$2:$H$47,7,FALSE)</f>
        <v>0</v>
      </c>
      <c r="G155" s="3" t="str">
        <f>VLOOKUP(A155,'8-Kath'!$A$2:$G$32,4,FALSE)</f>
        <v>-</v>
      </c>
      <c r="H155" s="3">
        <f>VLOOKUP(A155,'8-Kath'!$A$2:$G$32,5,FALSE)</f>
        <v>5</v>
      </c>
      <c r="I155" s="3" t="str">
        <f>VLOOKUP(A155,'8-Kath'!$A$2:$G$32,6,FALSE)</f>
        <v>2 advisors</v>
      </c>
      <c r="J155" s="3">
        <f>VLOOKUP(A155,'8-Kath'!$A$2:$H$47,8,FALSE)</f>
        <v>0</v>
      </c>
    </row>
    <row r="156" spans="1:10" x14ac:dyDescent="0.35">
      <c r="A156" s="4" t="s">
        <v>844</v>
      </c>
      <c r="B156" s="4" t="s">
        <v>845</v>
      </c>
      <c r="C156" t="s">
        <v>133</v>
      </c>
      <c r="D156" s="3">
        <f>_xlfn.XLOOKUP(C156,'Territory List'!$D$2:$D$352,'Territory List'!$G$2:$G$352)</f>
        <v>8</v>
      </c>
      <c r="E156" s="10">
        <f>VLOOKUP(A156,'8-Kath'!$A$2:$G$32,3,FALSE)</f>
        <v>46104</v>
      </c>
      <c r="F156" s="10" t="str">
        <f>VLOOKUP(A156,'8-Kath'!$A$2:$H$47,7,FALSE)</f>
        <v>9/10/26?</v>
      </c>
      <c r="G156" s="3" t="str">
        <f>VLOOKUP(A156,'8-Kath'!$A$2:$G$32,4,FALSE)</f>
        <v>-</v>
      </c>
      <c r="H156" s="3">
        <f>VLOOKUP(A156,'8-Kath'!$A$2:$G$32,5,FALSE)</f>
        <v>3</v>
      </c>
      <c r="I156" s="3" t="str">
        <f>VLOOKUP(A156,'8-Kath'!$A$2:$G$32,6,FALSE)</f>
        <v>-</v>
      </c>
      <c r="J156" s="3">
        <f>VLOOKUP(A156,'8-Kath'!$A$2:$H$47,8,FALSE)</f>
        <v>0</v>
      </c>
    </row>
    <row r="157" spans="1:10" x14ac:dyDescent="0.35">
      <c r="A157" s="4" t="s">
        <v>835</v>
      </c>
      <c r="B157" s="4" t="s">
        <v>836</v>
      </c>
      <c r="C157" t="s">
        <v>132</v>
      </c>
      <c r="D157" s="3">
        <f>_xlfn.XLOOKUP(C157,'Territory List'!$D$2:$D$352,'Territory List'!$G$2:$G$352)</f>
        <v>8</v>
      </c>
      <c r="E157" s="10">
        <f>VLOOKUP(A157,'8-Kath'!$A$2:$G$32,3,FALSE)</f>
        <v>46099</v>
      </c>
      <c r="F157" s="10">
        <f>VLOOKUP(A157,'8-Kath'!$A$2:$H$47,7,FALSE)</f>
        <v>0</v>
      </c>
      <c r="G157" s="3" t="str">
        <f>VLOOKUP(A157,'8-Kath'!$A$2:$G$32,4,FALSE)</f>
        <v>-</v>
      </c>
      <c r="H157" s="3">
        <f>VLOOKUP(A157,'8-Kath'!$A$2:$G$32,5,FALSE)</f>
        <v>3</v>
      </c>
      <c r="I157" s="3" t="str">
        <f>VLOOKUP(A157,'8-Kath'!$A$2:$G$32,6,FALSE)</f>
        <v>-</v>
      </c>
      <c r="J157" s="3">
        <f>VLOOKUP(A157,'8-Kath'!$A$2:$H$47,8,FALSE)</f>
        <v>0</v>
      </c>
    </row>
    <row r="158" spans="1:10" x14ac:dyDescent="0.35">
      <c r="A158" s="4" t="s">
        <v>824</v>
      </c>
      <c r="B158" s="4" t="s">
        <v>825</v>
      </c>
      <c r="C158" t="s">
        <v>131</v>
      </c>
      <c r="D158" s="3">
        <f>_xlfn.XLOOKUP(C158,'Territory List'!$D$2:$D$352,'Territory List'!$G$2:$G$352)</f>
        <v>8</v>
      </c>
      <c r="E158" s="10">
        <f>VLOOKUP(A158,'8-Kath'!$A$2:$G$32,3,FALSE)</f>
        <v>46106</v>
      </c>
      <c r="F158" s="10">
        <f>VLOOKUP(A158,'8-Kath'!$A$2:$H$47,7,FALSE)</f>
        <v>46275</v>
      </c>
      <c r="G158" s="3" t="str">
        <f>VLOOKUP(A158,'8-Kath'!$A$2:$G$32,4,FALSE)</f>
        <v>Meet Annual with Board Chair Nick &amp; Brian Treasurer</v>
      </c>
      <c r="H158" s="3" t="str">
        <f>VLOOKUP(A158,'8-Kath'!$A$2:$G$32,5,FALSE)</f>
        <v>-</v>
      </c>
      <c r="I158" s="3" t="str">
        <f>VLOOKUP(A158,'8-Kath'!$A$2:$G$32,6,FALSE)</f>
        <v>-</v>
      </c>
      <c r="J158" s="3">
        <f>VLOOKUP(A158,'8-Kath'!$A$2:$H$47,8,FALSE)</f>
        <v>0</v>
      </c>
    </row>
    <row r="159" spans="1:10" x14ac:dyDescent="0.35">
      <c r="A159" s="4" t="s">
        <v>719</v>
      </c>
      <c r="B159" s="4" t="s">
        <v>655</v>
      </c>
      <c r="C159" t="s">
        <v>123</v>
      </c>
      <c r="D159" s="3">
        <f>_xlfn.XLOOKUP(C159,'Territory List'!$D$2:$D$352,'Territory List'!$G$2:$G$352)</f>
        <v>8</v>
      </c>
      <c r="E159" s="10">
        <f>VLOOKUP(A159,'8-Kath'!$A$2:$G$32,3,FALSE)</f>
        <v>46106</v>
      </c>
      <c r="F159" s="10">
        <f>VLOOKUP(A159,'8-Kath'!$A$2:$H$47,7,FALSE)</f>
        <v>46275</v>
      </c>
      <c r="G159" s="3" t="str">
        <f>VLOOKUP(A159,'8-Kath'!$A$2:$G$32,4,FALSE)</f>
        <v>-</v>
      </c>
      <c r="H159" s="3" t="str">
        <f>VLOOKUP(A159,'8-Kath'!$A$2:$G$32,5,FALSE)</f>
        <v>-</v>
      </c>
      <c r="I159" s="3" t="str">
        <f>VLOOKUP(A159,'8-Kath'!$A$2:$G$32,6,FALSE)</f>
        <v>-</v>
      </c>
      <c r="J159" s="3">
        <f>VLOOKUP(A159,'8-Kath'!$A$2:$H$47,8,FALSE)</f>
        <v>0</v>
      </c>
    </row>
    <row r="160" spans="1:10" x14ac:dyDescent="0.35">
      <c r="A160" s="4" t="s">
        <v>694</v>
      </c>
      <c r="B160" s="4" t="s">
        <v>695</v>
      </c>
      <c r="C160" t="s">
        <v>103</v>
      </c>
      <c r="D160" s="3">
        <f>_xlfn.XLOOKUP(C160,'Territory List'!$D$2:$D$352,'Territory List'!$G$2:$G$352)</f>
        <v>8</v>
      </c>
      <c r="E160" s="10" t="str">
        <f>VLOOKUP(A160,'8-Kath'!$A$2:$G$32,3,FALSE)</f>
        <v>Emailed PR</v>
      </c>
      <c r="F160" s="10">
        <f>VLOOKUP(A160,'8-Kath'!$A$2:$H$47,7,FALSE)</f>
        <v>0</v>
      </c>
      <c r="G160" s="3" t="str">
        <f>VLOOKUP(A160,'8-Kath'!$A$2:$G$32,4,FALSE)</f>
        <v>-</v>
      </c>
      <c r="H160" s="3" t="str">
        <f>VLOOKUP(A160,'8-Kath'!$A$2:$G$32,5,FALSE)</f>
        <v>-</v>
      </c>
      <c r="I160" s="3">
        <f>VLOOKUP(A160,'8-Kath'!$A$2:$G$32,6,FALSE)</f>
        <v>0</v>
      </c>
      <c r="J160" s="3">
        <f>VLOOKUP(A160,'8-Kath'!$A$2:$H$47,8,FALSE)</f>
        <v>0</v>
      </c>
    </row>
    <row r="161" spans="1:10" x14ac:dyDescent="0.35">
      <c r="A161" s="4" t="s">
        <v>693</v>
      </c>
      <c r="B161" s="4" t="s">
        <v>396</v>
      </c>
      <c r="C161" t="s">
        <v>100</v>
      </c>
      <c r="D161" s="3">
        <f>_xlfn.XLOOKUP(C161,'Territory List'!$D$2:$D$352,'Territory List'!$G$2:$G$352)</f>
        <v>8</v>
      </c>
      <c r="E161" s="10" t="str">
        <f>VLOOKUP(A161,'8-Kath'!$A$2:$G$32,3,FALSE)</f>
        <v xml:space="preserve">June </v>
      </c>
      <c r="F161" s="10">
        <f>VLOOKUP(A161,'8-Kath'!$A$2:$H$47,7,FALSE)</f>
        <v>0</v>
      </c>
      <c r="G161" s="3" t="str">
        <f>VLOOKUP(A161,'8-Kath'!$A$2:$G$32,4,FALSE)</f>
        <v>-</v>
      </c>
      <c r="H161" s="3" t="str">
        <f>VLOOKUP(A161,'8-Kath'!$A$2:$G$32,5,FALSE)</f>
        <v>-</v>
      </c>
      <c r="I161" s="3" t="str">
        <f>VLOOKUP(A161,'8-Kath'!$A$2:$G$32,6,FALSE)</f>
        <v>-</v>
      </c>
      <c r="J161" s="3">
        <f>VLOOKUP(A161,'8-Kath'!$A$2:$H$47,8,FALSE)</f>
        <v>0</v>
      </c>
    </row>
    <row r="162" spans="1:10" x14ac:dyDescent="0.35">
      <c r="A162" s="4" t="s">
        <v>660</v>
      </c>
      <c r="B162" s="4" t="s">
        <v>661</v>
      </c>
      <c r="C162" t="s">
        <v>120</v>
      </c>
      <c r="D162" s="3">
        <f>_xlfn.XLOOKUP(C162,'Territory List'!$D$2:$D$352,'Territory List'!$G$2:$G$352)</f>
        <v>8</v>
      </c>
      <c r="E162" s="10">
        <f>VLOOKUP(A162,'8-Kath'!$A$2:$G$32,3,FALSE)</f>
        <v>46104</v>
      </c>
      <c r="F162" s="10" t="str">
        <f>VLOOKUP(A162,'8-Kath'!$A$2:$H$47,7,FALSE)</f>
        <v>9/10/26?</v>
      </c>
      <c r="G162" s="3" t="str">
        <f>VLOOKUP(A162,'8-Kath'!$A$2:$G$32,4,FALSE)</f>
        <v>dropped off report 3/23</v>
      </c>
      <c r="H162" s="3">
        <f>VLOOKUP(A162,'8-Kath'!$A$2:$G$32,5,FALSE)</f>
        <v>3</v>
      </c>
      <c r="I162" s="3" t="str">
        <f>VLOOKUP(A162,'8-Kath'!$A$2:$G$32,6,FALSE)</f>
        <v>-</v>
      </c>
      <c r="J162" s="3">
        <f>VLOOKUP(A162,'8-Kath'!$A$2:$H$47,8,FALSE)</f>
        <v>0</v>
      </c>
    </row>
    <row r="163" spans="1:10" x14ac:dyDescent="0.35">
      <c r="A163" s="4" t="s">
        <v>654</v>
      </c>
      <c r="B163" s="4" t="s">
        <v>655</v>
      </c>
      <c r="C163" t="s">
        <v>123</v>
      </c>
      <c r="D163" s="3">
        <f>_xlfn.XLOOKUP(C163,'Territory List'!$D$2:$D$352,'Territory List'!$G$2:$G$352)</f>
        <v>8</v>
      </c>
      <c r="E163" s="10" t="str">
        <f>VLOOKUP(A163,'8-Kath'!$A$2:$G$32,3,FALSE)</f>
        <v>Emailed PR</v>
      </c>
      <c r="F163" s="10">
        <f>VLOOKUP(A163,'8-Kath'!$A$2:$H$47,7,FALSE)</f>
        <v>0</v>
      </c>
      <c r="G163" s="3" t="str">
        <f>VLOOKUP(A163,'8-Kath'!$A$2:$G$32,4,FALSE)</f>
        <v>-</v>
      </c>
      <c r="H163" s="3" t="str">
        <f>VLOOKUP(A163,'8-Kath'!$A$2:$G$32,5,FALSE)</f>
        <v>-</v>
      </c>
      <c r="I163" s="3" t="str">
        <f>VLOOKUP(A163,'8-Kath'!$A$2:$G$32,6,FALSE)</f>
        <v>-</v>
      </c>
      <c r="J163" s="3">
        <f>VLOOKUP(A163,'8-Kath'!$A$2:$H$47,8,FALSE)</f>
        <v>0</v>
      </c>
    </row>
    <row r="164" spans="1:10" x14ac:dyDescent="0.35">
      <c r="A164" s="4" t="s">
        <v>651</v>
      </c>
      <c r="B164" s="4" t="s">
        <v>388</v>
      </c>
      <c r="C164" t="s">
        <v>119</v>
      </c>
      <c r="D164" s="3">
        <f>_xlfn.XLOOKUP(C164,'Territory List'!$D$2:$D$352,'Territory List'!$G$2:$G$352)</f>
        <v>8</v>
      </c>
      <c r="E164" s="10">
        <f>VLOOKUP(A164,'8-Kath'!$A$2:$G$32,3,FALSE)</f>
        <v>46198</v>
      </c>
      <c r="F164" s="10">
        <f>VLOOKUP(A164,'8-Kath'!$A$2:$H$47,7,FALSE)</f>
        <v>0</v>
      </c>
      <c r="G164" s="3" t="str">
        <f>VLOOKUP(A164,'8-Kath'!$A$2:$G$32,4,FALSE)</f>
        <v>Trust funds only/OPEB trustees separate meeting</v>
      </c>
      <c r="H164" s="3" t="str">
        <f>VLOOKUP(A164,'8-Kath'!$A$2:$G$32,5,FALSE)</f>
        <v>-</v>
      </c>
      <c r="I164" s="3" t="str">
        <f>VLOOKUP(A164,'8-Kath'!$A$2:$G$32,6,FALSE)</f>
        <v>Kathleen</v>
      </c>
      <c r="J164" s="3">
        <f>VLOOKUP(A164,'8-Kath'!$A$2:$H$47,8,FALSE)</f>
        <v>0</v>
      </c>
    </row>
    <row r="165" spans="1:10" x14ac:dyDescent="0.35">
      <c r="A165" s="4" t="s">
        <v>1024</v>
      </c>
      <c r="B165" s="4" t="s">
        <v>388</v>
      </c>
      <c r="C165" t="s">
        <v>119</v>
      </c>
      <c r="D165" s="3">
        <v>8</v>
      </c>
      <c r="E165" s="10" t="e">
        <f>VLOOKUP(A165,'8-Kath'!$A$2:$G$32,3,FALSE)</f>
        <v>#N/A</v>
      </c>
      <c r="F165" s="10" t="e">
        <f>VLOOKUP(A165,'8-Kath'!$A$2:$H$47,7,FALSE)</f>
        <v>#N/A</v>
      </c>
      <c r="G165" s="3" t="e">
        <f>VLOOKUP(A165,'8-Kath'!$A$2:$G$32,4,FALSE)</f>
        <v>#N/A</v>
      </c>
      <c r="H165" s="3" t="e">
        <f>VLOOKUP(A165,'8-Kath'!$A$2:$G$32,5,FALSE)</f>
        <v>#N/A</v>
      </c>
      <c r="I165" s="3" t="e">
        <f>VLOOKUP(A165,'8-Kath'!$A$2:$G$32,6,FALSE)</f>
        <v>#N/A</v>
      </c>
      <c r="J165" s="3">
        <f>_xlfn.IFNA(VLOOKUP(A165,'13-Michelle'!$A$1:$H$35,8,FALSE),0)</f>
        <v>0</v>
      </c>
    </row>
    <row r="166" spans="1:10" x14ac:dyDescent="0.35">
      <c r="A166" s="4" t="s">
        <v>633</v>
      </c>
      <c r="B166" s="4" t="s">
        <v>632</v>
      </c>
      <c r="C166" t="s">
        <v>117</v>
      </c>
      <c r="D166" s="3">
        <f>_xlfn.XLOOKUP(C166,'Territory List'!$D$2:$D$352,'Territory List'!$G$2:$G$352)</f>
        <v>8</v>
      </c>
      <c r="E166" s="10">
        <f>VLOOKUP(A166,'8-Kath'!$A$2:$G$32,3,FALSE)</f>
        <v>46141</v>
      </c>
      <c r="F166" s="10">
        <f>VLOOKUP(A166,'8-Kath'!$A$2:$H$47,7,FALSE)</f>
        <v>46267</v>
      </c>
      <c r="G166" s="3" t="str">
        <f>VLOOKUP(A166,'8-Kath'!$A$2:$G$32,4,FALSE)</f>
        <v>-</v>
      </c>
      <c r="H166" s="3">
        <f>VLOOKUP(A166,'8-Kath'!$A$2:$G$32,5,FALSE)</f>
        <v>7</v>
      </c>
      <c r="I166" s="3" t="str">
        <f>VLOOKUP(A166,'8-Kath'!$A$2:$G$32,6,FALSE)</f>
        <v>-</v>
      </c>
      <c r="J166" s="3">
        <f>VLOOKUP(A166,'8-Kath'!$A$2:$H$47,8,FALSE)</f>
        <v>0</v>
      </c>
    </row>
    <row r="167" spans="1:10" x14ac:dyDescent="0.35">
      <c r="A167" s="4" t="s">
        <v>631</v>
      </c>
      <c r="B167" s="4" t="s">
        <v>632</v>
      </c>
      <c r="C167" t="s">
        <v>117</v>
      </c>
      <c r="D167" s="3">
        <f>_xlfn.XLOOKUP(C167,'Territory List'!$D$2:$D$352,'Territory List'!$G$2:$G$352)</f>
        <v>8</v>
      </c>
      <c r="E167" s="10" t="str">
        <f>VLOOKUP(A167,'8-Kath'!$A$2:$G$32,3,FALSE)</f>
        <v>-</v>
      </c>
      <c r="F167" s="10">
        <f>VLOOKUP(A167,'8-Kath'!$A$2:$H$47,7,FALSE)</f>
        <v>0</v>
      </c>
      <c r="G167" s="3" t="str">
        <f>VLOOKUP(A167,'8-Kath'!$A$2:$G$32,4,FALSE)</f>
        <v>ONLY MEET ONCE YEAR*</v>
      </c>
      <c r="H167" s="3">
        <f>VLOOKUP(A167,'8-Kath'!$A$2:$G$32,5,FALSE)</f>
        <v>7</v>
      </c>
      <c r="I167" s="3" t="str">
        <f>VLOOKUP(A167,'8-Kath'!$A$2:$G$32,6,FALSE)</f>
        <v>2 advisors</v>
      </c>
      <c r="J167" s="3">
        <f>VLOOKUP(A167,'8-Kath'!$A$2:$H$47,8,FALSE)</f>
        <v>0</v>
      </c>
    </row>
    <row r="168" spans="1:10" x14ac:dyDescent="0.35">
      <c r="A168" s="4" t="s">
        <v>610</v>
      </c>
      <c r="B168" s="4" t="s">
        <v>611</v>
      </c>
      <c r="C168" t="s">
        <v>115</v>
      </c>
      <c r="D168" s="3">
        <f>_xlfn.XLOOKUP(C168,'Territory List'!$D$2:$D$352,'Territory List'!$G$2:$G$352)</f>
        <v>8</v>
      </c>
      <c r="E168" s="10">
        <f>VLOOKUP(A168,'8-Kath'!$A$2:$G$32,3,FALSE)</f>
        <v>46099</v>
      </c>
      <c r="F168" s="10" t="str">
        <f>VLOOKUP(A168,'8-Kath'!$A$2:$H$47,7,FALSE)</f>
        <v>8/24/26?</v>
      </c>
      <c r="G168" s="3" t="str">
        <f>VLOOKUP(A168,'8-Kath'!$A$2:$G$32,4,FALSE)</f>
        <v>For annual review likes hard copies</v>
      </c>
      <c r="H168" s="3">
        <f>VLOOKUP(A168,'8-Kath'!$A$2:$G$32,5,FALSE)</f>
        <v>3</v>
      </c>
      <c r="I168" s="3" t="str">
        <f>VLOOKUP(A168,'8-Kath'!$A$2:$G$32,6,FALSE)</f>
        <v>-</v>
      </c>
      <c r="J168" s="3">
        <f>VLOOKUP(A168,'8-Kath'!$A$2:$H$47,8,FALSE)</f>
        <v>0</v>
      </c>
    </row>
    <row r="169" spans="1:10" x14ac:dyDescent="0.35">
      <c r="A169" s="4" t="s">
        <v>603</v>
      </c>
      <c r="B169" s="4" t="s">
        <v>604</v>
      </c>
      <c r="C169" t="s">
        <v>114</v>
      </c>
      <c r="D169" s="3">
        <f>_xlfn.XLOOKUP(C169,'Territory List'!$D$2:$D$352,'Territory List'!$G$2:$G$352)</f>
        <v>8</v>
      </c>
      <c r="E169" s="10">
        <f>VLOOKUP(A169,'8-Kath'!$A$2:$G$32,3,FALSE)</f>
        <v>46203</v>
      </c>
      <c r="F169" s="10">
        <f>VLOOKUP(A169,'8-Kath'!$A$2:$H$47,7,FALSE)</f>
        <v>0</v>
      </c>
      <c r="G169" s="3" t="str">
        <f>VLOOKUP(A169,'8-Kath'!$A$2:$G$32,4,FALSE)</f>
        <v>-</v>
      </c>
      <c r="H169" s="3">
        <f>VLOOKUP(A169,'8-Kath'!$A$2:$G$32,5,FALSE)</f>
        <v>3</v>
      </c>
      <c r="I169" s="3" t="str">
        <f>VLOOKUP(A169,'8-Kath'!$A$2:$G$32,6,FALSE)</f>
        <v>-</v>
      </c>
      <c r="J169" s="3">
        <f>VLOOKUP(A169,'8-Kath'!$A$2:$H$47,8,FALSE)</f>
        <v>0</v>
      </c>
    </row>
    <row r="170" spans="1:10" x14ac:dyDescent="0.35">
      <c r="A170" s="4" t="s">
        <v>1023</v>
      </c>
      <c r="B170" s="4" t="s">
        <v>604</v>
      </c>
      <c r="C170" t="s">
        <v>114</v>
      </c>
      <c r="D170" s="3">
        <v>8</v>
      </c>
      <c r="E170" s="10" t="e">
        <f>VLOOKUP(A170,'8-Kath'!$A$2:$G$32,3,FALSE)</f>
        <v>#N/A</v>
      </c>
      <c r="F170" s="10" t="e">
        <f>VLOOKUP(A170,'8-Kath'!$A$2:$H$47,7,FALSE)</f>
        <v>#N/A</v>
      </c>
      <c r="G170" s="3" t="e">
        <f>VLOOKUP(A170,'8-Kath'!$A$2:$G$32,4,FALSE)</f>
        <v>#N/A</v>
      </c>
      <c r="H170" s="3" t="e">
        <f>VLOOKUP(A170,'8-Kath'!$A$2:$G$32,5,FALSE)</f>
        <v>#N/A</v>
      </c>
      <c r="I170" s="3" t="e">
        <f>VLOOKUP(A170,'8-Kath'!$A$2:$G$32,6,FALSE)</f>
        <v>#N/A</v>
      </c>
      <c r="J170" s="3">
        <f>_xlfn.IFNA(VLOOKUP(A170,'13-Michelle'!$A$1:$H$35,8,FALSE),0)</f>
        <v>0</v>
      </c>
    </row>
    <row r="171" spans="1:10" x14ac:dyDescent="0.35">
      <c r="A171" s="4" t="s">
        <v>599</v>
      </c>
      <c r="B171" s="4" t="s">
        <v>600</v>
      </c>
      <c r="C171" t="s">
        <v>112</v>
      </c>
      <c r="D171" s="3">
        <f>_xlfn.XLOOKUP(C171,'Territory List'!$D$2:$D$352,'Territory List'!$G$2:$G$352)</f>
        <v>8</v>
      </c>
      <c r="E171" s="10">
        <f>VLOOKUP(A171,'8-Kath'!$A$2:$G$32,3,FALSE)</f>
        <v>46163</v>
      </c>
      <c r="F171" s="10">
        <f>VLOOKUP(A171,'8-Kath'!$A$2:$H$47,7,FALSE)</f>
        <v>0</v>
      </c>
      <c r="G171" s="3" t="str">
        <f>VLOOKUP(A171,'8-Kath'!$A$2:$G$32,4,FALSE)</f>
        <v>If have new FD then have Kathleen go</v>
      </c>
      <c r="H171" s="3" t="str">
        <f>VLOOKUP(A171,'8-Kath'!$A$2:$G$32,5,FALSE)</f>
        <v>-</v>
      </c>
      <c r="I171" s="3" t="str">
        <f>VLOOKUP(A171,'8-Kath'!$A$2:$G$32,6,FALSE)</f>
        <v>-</v>
      </c>
      <c r="J171" s="3">
        <f>VLOOKUP(A171,'8-Kath'!$A$2:$H$47,8,FALSE)</f>
        <v>0</v>
      </c>
    </row>
    <row r="172" spans="1:10" x14ac:dyDescent="0.35">
      <c r="A172" s="4" t="s">
        <v>581</v>
      </c>
      <c r="B172" s="4" t="s">
        <v>582</v>
      </c>
      <c r="C172" t="s">
        <v>111</v>
      </c>
      <c r="D172" s="3">
        <f>_xlfn.XLOOKUP(C172,'Territory List'!$D$2:$D$352,'Territory List'!$G$2:$G$352)</f>
        <v>8</v>
      </c>
      <c r="E172" s="10">
        <f>VLOOKUP(A172,'8-Kath'!$A$2:$G$32,3,FALSE)</f>
        <v>46141</v>
      </c>
      <c r="F172" s="10" t="str">
        <f>VLOOKUP(A172,'8-Kath'!$A$2:$H$47,7,FALSE)</f>
        <v>8/27/26?</v>
      </c>
      <c r="G172" s="3" t="str">
        <f>VLOOKUP(A172,'8-Kath'!$A$2:$G$32,4,FALSE)</f>
        <v>-</v>
      </c>
      <c r="H172" s="3" t="str">
        <f>VLOOKUP(A172,'8-Kath'!$A$2:$G$32,5,FALSE)</f>
        <v>-</v>
      </c>
      <c r="I172" s="3" t="str">
        <f>VLOOKUP(A172,'8-Kath'!$A$2:$G$32,6,FALSE)</f>
        <v>-</v>
      </c>
      <c r="J172" s="3">
        <f>VLOOKUP(A172,'8-Kath'!$A$2:$H$47,8,FALSE)</f>
        <v>1</v>
      </c>
    </row>
    <row r="173" spans="1:10" x14ac:dyDescent="0.35">
      <c r="A173" s="4" t="s">
        <v>564</v>
      </c>
      <c r="B173" s="4" t="s">
        <v>565</v>
      </c>
      <c r="C173" t="s">
        <v>109</v>
      </c>
      <c r="D173" s="3">
        <f>_xlfn.XLOOKUP(C173,'Territory List'!$D$2:$D$352,'Territory List'!$G$2:$G$352)</f>
        <v>8</v>
      </c>
      <c r="E173" s="10" t="str">
        <f>VLOOKUP(A173,'8-Kath'!$A$2:$G$32,3,FALSE)</f>
        <v>-</v>
      </c>
      <c r="F173" s="10">
        <f>VLOOKUP(A173,'8-Kath'!$A$2:$H$47,7,FALSE)</f>
        <v>46261</v>
      </c>
      <c r="G173" s="3" t="str">
        <f>VLOOKUP(A173,'8-Kath'!$A$2:$G$32,4,FALSE)</f>
        <v>-</v>
      </c>
      <c r="H173" s="3">
        <f>VLOOKUP(A173,'8-Kath'!$A$2:$G$32,5,FALSE)</f>
        <v>3</v>
      </c>
      <c r="I173" s="3" t="str">
        <f>VLOOKUP(A173,'8-Kath'!$A$2:$G$32,6,FALSE)</f>
        <v>-</v>
      </c>
      <c r="J173" s="3">
        <f>VLOOKUP(A173,'8-Kath'!$A$2:$H$47,8,FALSE)</f>
        <v>1</v>
      </c>
    </row>
    <row r="174" spans="1:10" x14ac:dyDescent="0.35">
      <c r="A174" s="4" t="s">
        <v>527</v>
      </c>
      <c r="B174" s="4" t="s">
        <v>528</v>
      </c>
      <c r="C174" t="s">
        <v>136</v>
      </c>
      <c r="D174" s="3">
        <f>_xlfn.XLOOKUP(C174,'Territory List'!$D$2:$D$352,'Territory List'!$G$2:$G$352)</f>
        <v>8</v>
      </c>
      <c r="E174" s="10">
        <f>VLOOKUP(A174,'8-Kath'!$A$2:$G$32,3,FALSE)</f>
        <v>46104</v>
      </c>
      <c r="F174" s="10">
        <f>VLOOKUP(A174,'8-Kath'!$A$2:$H$47,7,FALSE)</f>
        <v>0</v>
      </c>
      <c r="G174" s="3" t="str">
        <f>VLOOKUP(A174,'8-Kath'!$A$2:$G$32,4,FALSE)</f>
        <v>-</v>
      </c>
      <c r="H174" s="3">
        <f>VLOOKUP(A174,'8-Kath'!$A$2:$G$32,5,FALSE)</f>
        <v>3</v>
      </c>
      <c r="I174" s="3" t="str">
        <f>VLOOKUP(A174,'8-Kath'!$A$2:$G$32,6,FALSE)</f>
        <v>-</v>
      </c>
      <c r="J174" s="3">
        <f>VLOOKUP(A174,'8-Kath'!$A$2:$H$47,8,FALSE)</f>
        <v>0</v>
      </c>
    </row>
    <row r="175" spans="1:10" x14ac:dyDescent="0.35">
      <c r="A175" s="4" t="s">
        <v>471</v>
      </c>
      <c r="B175" s="4" t="s">
        <v>472</v>
      </c>
      <c r="C175" t="s">
        <v>106</v>
      </c>
      <c r="D175" s="3">
        <f>_xlfn.XLOOKUP(C175,'Territory List'!$D$2:$D$352,'Territory List'!$G$2:$G$352)</f>
        <v>8</v>
      </c>
      <c r="E175" s="10" t="str">
        <f>VLOOKUP(A175,'8-Kath'!$A$2:$G$32,3,FALSE)</f>
        <v>-</v>
      </c>
      <c r="F175" s="10">
        <f>VLOOKUP(A175,'8-Kath'!$A$2:$H$47,7,FALSE)</f>
        <v>46259</v>
      </c>
      <c r="G175" s="3" t="str">
        <f>VLOOKUP(A175,'8-Kath'!$A$2:$G$32,4,FALSE)</f>
        <v>-</v>
      </c>
      <c r="H175" s="3">
        <f>VLOOKUP(A175,'8-Kath'!$A$2:$G$32,5,FALSE)</f>
        <v>3</v>
      </c>
      <c r="I175" s="3" t="str">
        <f>VLOOKUP(A175,'8-Kath'!$A$2:$G$32,6,FALSE)</f>
        <v>-</v>
      </c>
      <c r="J175" s="3">
        <f>VLOOKUP(A175,'8-Kath'!$A$2:$H$47,8,FALSE)</f>
        <v>1</v>
      </c>
    </row>
    <row r="176" spans="1:10" x14ac:dyDescent="0.35">
      <c r="A176" s="4" t="s">
        <v>430</v>
      </c>
      <c r="B176" s="4" t="s">
        <v>429</v>
      </c>
      <c r="C176" t="s">
        <v>105</v>
      </c>
      <c r="D176" s="3">
        <f>_xlfn.XLOOKUP(C176,'Territory List'!$D$2:$D$352,'Territory List'!$G$2:$G$352)</f>
        <v>8</v>
      </c>
      <c r="E176" s="10">
        <f>VLOOKUP(A176,'8-Kath'!$A$2:$G$32,3,FALSE)</f>
        <v>46097</v>
      </c>
      <c r="F176" s="10">
        <f>VLOOKUP(A176,'8-Kath'!$A$2:$H$47,7,FALSE)</f>
        <v>46258</v>
      </c>
      <c r="G176" s="3" t="str">
        <f>VLOOKUP(A176,'8-Kath'!$A$2:$G$32,4,FALSE)</f>
        <v>-</v>
      </c>
      <c r="H176" s="3">
        <f>VLOOKUP(A176,'8-Kath'!$A$2:$G$32,5,FALSE)</f>
        <v>3</v>
      </c>
      <c r="I176" s="3" t="str">
        <f>VLOOKUP(A176,'8-Kath'!$A$2:$G$32,6,FALSE)</f>
        <v>-</v>
      </c>
      <c r="J176" s="3">
        <f>VLOOKUP(A176,'8-Kath'!$A$2:$H$47,8,FALSE)</f>
        <v>1</v>
      </c>
    </row>
    <row r="177" spans="1:10" x14ac:dyDescent="0.35">
      <c r="A177" s="4" t="s">
        <v>428</v>
      </c>
      <c r="B177" s="4" t="s">
        <v>429</v>
      </c>
      <c r="C177" t="s">
        <v>105</v>
      </c>
      <c r="D177" s="3">
        <f>_xlfn.XLOOKUP(C177,'Territory List'!$D$2:$D$352,'Territory List'!$G$2:$G$352)</f>
        <v>8</v>
      </c>
      <c r="E177" s="10">
        <f>VLOOKUP(A177,'8-Kath'!$A$2:$G$32,3,FALSE)</f>
        <v>46204</v>
      </c>
      <c r="F177" s="10">
        <f>VLOOKUP(A177,'8-Kath'!$A$2:$H$47,7,FALSE)</f>
        <v>46204</v>
      </c>
      <c r="G177" s="3">
        <f>VLOOKUP(A177,'8-Kath'!$A$2:$G$32,4,FALSE)</f>
        <v>0</v>
      </c>
      <c r="H177" s="3" t="str">
        <f>VLOOKUP(A177,'8-Kath'!$A$2:$G$32,5,FALSE)</f>
        <v>-</v>
      </c>
      <c r="I177" s="3" t="str">
        <f>VLOOKUP(A177,'8-Kath'!$A$2:$G$32,6,FALSE)</f>
        <v>-</v>
      </c>
      <c r="J177" s="3">
        <f>VLOOKUP(A177,'8-Kath'!$A$2:$H$47,8,FALSE)</f>
        <v>1</v>
      </c>
    </row>
    <row r="178" spans="1:10" x14ac:dyDescent="0.35">
      <c r="A178" s="4" t="s">
        <v>424</v>
      </c>
      <c r="B178" s="4" t="s">
        <v>425</v>
      </c>
      <c r="C178" t="s">
        <v>104</v>
      </c>
      <c r="D178" s="3">
        <f>_xlfn.XLOOKUP(C178,'Territory List'!$D$2:$D$352,'Territory List'!$G$2:$G$352)</f>
        <v>8</v>
      </c>
      <c r="E178" s="10">
        <f>VLOOKUP(A178,'8-Kath'!$A$2:$G$32,3,FALSE)</f>
        <v>46141</v>
      </c>
      <c r="F178" s="10">
        <f>VLOOKUP(A178,'8-Kath'!$A$2:$H$47,7,FALSE)</f>
        <v>46261</v>
      </c>
      <c r="G178" s="3" t="str">
        <f>VLOOKUP(A178,'8-Kath'!$A$2:$G$32,4,FALSE)</f>
        <v>-</v>
      </c>
      <c r="H178" s="3" t="str">
        <f>VLOOKUP(A178,'8-Kath'!$A$2:$G$32,5,FALSE)</f>
        <v>-</v>
      </c>
      <c r="I178" s="3" t="str">
        <f>VLOOKUP(A178,'8-Kath'!$A$2:$G$32,6,FALSE)</f>
        <v>-</v>
      </c>
      <c r="J178" s="3">
        <f>VLOOKUP(A178,'8-Kath'!$A$2:$H$47,8,FALSE)</f>
        <v>1</v>
      </c>
    </row>
    <row r="179" spans="1:10" x14ac:dyDescent="0.35">
      <c r="A179" s="4" t="s">
        <v>422</v>
      </c>
      <c r="B179" s="4" t="s">
        <v>103</v>
      </c>
      <c r="C179" t="s">
        <v>103</v>
      </c>
      <c r="D179" s="3">
        <f>_xlfn.XLOOKUP(C179,'Territory List'!$D$2:$D$352,'Territory List'!$G$2:$G$352)</f>
        <v>8</v>
      </c>
      <c r="E179" s="10">
        <f>VLOOKUP(A179,'8-Kath'!$A$2:$G$32,3,FALSE)</f>
        <v>46100</v>
      </c>
      <c r="F179" s="10">
        <f>VLOOKUP(A179,'8-Kath'!$A$2:$H$47,7,FALSE)</f>
        <v>46258</v>
      </c>
      <c r="G179" s="3" t="str">
        <f>VLOOKUP(A179,'8-Kath'!$A$2:$G$32,4,FALSE)</f>
        <v>-</v>
      </c>
      <c r="H179" s="3">
        <f>VLOOKUP(A179,'8-Kath'!$A$2:$G$32,5,FALSE)</f>
        <v>1</v>
      </c>
      <c r="I179" s="3" t="str">
        <f>VLOOKUP(A179,'8-Kath'!$A$2:$G$32,6,FALSE)</f>
        <v>-</v>
      </c>
      <c r="J179" s="3">
        <f>VLOOKUP(A179,'8-Kath'!$A$2:$H$47,8,FALSE)</f>
        <v>1</v>
      </c>
    </row>
    <row r="180" spans="1:10" x14ac:dyDescent="0.35">
      <c r="A180" s="4" t="s">
        <v>412</v>
      </c>
      <c r="B180" s="4" t="s">
        <v>413</v>
      </c>
      <c r="C180" t="s">
        <v>102</v>
      </c>
      <c r="D180" s="3">
        <f>_xlfn.XLOOKUP(C180,'Territory List'!$D$2:$D$352,'Territory List'!$G$2:$G$352)</f>
        <v>8</v>
      </c>
      <c r="E180" s="10">
        <f>VLOOKUP(A180,'8-Kath'!$A$2:$G$32,3,FALSE)</f>
        <v>46197</v>
      </c>
      <c r="F180" s="10">
        <f>VLOOKUP(A180,'8-Kath'!$A$2:$H$47,7,FALSE)</f>
        <v>0</v>
      </c>
      <c r="G180" s="3" t="str">
        <f>VLOOKUP(A180,'8-Kath'!$A$2:$G$32,4,FALSE)</f>
        <v>-</v>
      </c>
      <c r="H180" s="3" t="str">
        <f>VLOOKUP(A180,'8-Kath'!$A$2:$G$32,5,FALSE)</f>
        <v>-</v>
      </c>
      <c r="I180" s="3" t="str">
        <f>VLOOKUP(A180,'8-Kath'!$A$2:$G$32,6,FALSE)</f>
        <v>-</v>
      </c>
      <c r="J180" s="3">
        <f>VLOOKUP(A180,'8-Kath'!$A$2:$H$47,8,FALSE)</f>
        <v>0</v>
      </c>
    </row>
    <row r="181" spans="1:10" x14ac:dyDescent="0.35">
      <c r="A181" s="4" t="s">
        <v>395</v>
      </c>
      <c r="B181" s="4" t="s">
        <v>396</v>
      </c>
      <c r="C181" t="s">
        <v>100</v>
      </c>
      <c r="D181" s="3">
        <f>_xlfn.XLOOKUP(C181,'Territory List'!$D$2:$D$352,'Territory List'!$G$2:$G$352)</f>
        <v>8</v>
      </c>
      <c r="E181" s="10">
        <f>VLOOKUP(A181,'8-Kath'!$A$2:$G$32,3,FALSE)</f>
        <v>46097</v>
      </c>
      <c r="F181" s="10">
        <f>VLOOKUP(A181,'8-Kath'!$A$2:$H$47,7,FALSE)</f>
        <v>46267</v>
      </c>
      <c r="G181" s="3" t="str">
        <f>VLOOKUP(A181,'8-Kath'!$A$2:$G$32,4,FALSE)</f>
        <v>-</v>
      </c>
      <c r="H181" s="3" t="str">
        <f>VLOOKUP(A181,'8-Kath'!$A$2:$G$32,5,FALSE)</f>
        <v>-</v>
      </c>
      <c r="I181" s="3" t="str">
        <f>VLOOKUP(A181,'8-Kath'!$A$2:$G$32,6,FALSE)</f>
        <v>-</v>
      </c>
      <c r="J181" s="3">
        <f>VLOOKUP(A181,'8-Kath'!$A$2:$H$47,8,FALSE)</f>
        <v>0</v>
      </c>
    </row>
    <row r="182" spans="1:10" x14ac:dyDescent="0.35">
      <c r="A182" s="4" t="s">
        <v>387</v>
      </c>
      <c r="B182" s="4" t="s">
        <v>388</v>
      </c>
      <c r="C182" t="s">
        <v>119</v>
      </c>
      <c r="D182" s="3">
        <f>_xlfn.XLOOKUP(C182,'Territory List'!$D$2:$D$352,'Territory List'!$G$2:$G$352)</f>
        <v>8</v>
      </c>
      <c r="E182" s="10" t="str">
        <f>VLOOKUP(A182,'8-Kath'!$A$2:$G$32,3,FALSE)</f>
        <v>Emailed PR</v>
      </c>
      <c r="F182" s="10">
        <f>VLOOKUP(A182,'8-Kath'!$A$2:$H$47,7,FALSE)</f>
        <v>0</v>
      </c>
      <c r="G182" s="3" t="str">
        <f>VLOOKUP(A182,'8-Kath'!$A$2:$G$32,4,FALSE)</f>
        <v>-</v>
      </c>
      <c r="H182" s="3" t="str">
        <f>VLOOKUP(A182,'8-Kath'!$A$2:$G$32,5,FALSE)</f>
        <v>-</v>
      </c>
      <c r="I182" s="3" t="str">
        <f>VLOOKUP(A182,'8-Kath'!$A$2:$G$32,6,FALSE)</f>
        <v>-</v>
      </c>
      <c r="J182" s="3">
        <f>VLOOKUP(A182,'8-Kath'!$A$2:$H$47,8,FALSE)</f>
        <v>0</v>
      </c>
    </row>
    <row r="183" spans="1:10" x14ac:dyDescent="0.35">
      <c r="A183" s="4" t="s">
        <v>368</v>
      </c>
      <c r="B183" s="4" t="s">
        <v>367</v>
      </c>
      <c r="C183" t="s">
        <v>96</v>
      </c>
      <c r="D183" s="3">
        <f>_xlfn.XLOOKUP(C183,'Territory List'!$D$2:$D$352,'Territory List'!$G$2:$G$352)</f>
        <v>8</v>
      </c>
      <c r="E183" s="10" t="str">
        <f>VLOOKUP(A183,'8-Kath'!$A$2:$G$32,3,FALSE)</f>
        <v>-</v>
      </c>
      <c r="F183" s="10">
        <f>VLOOKUP(A183,'8-Kath'!$A$2:$H$47,7,FALSE)</f>
        <v>0</v>
      </c>
      <c r="G183" s="3" t="str">
        <f>VLOOKUP(A183,'8-Kath'!$A$2:$G$32,4,FALSE)</f>
        <v>OPEB Advisory Board Annual Review</v>
      </c>
      <c r="H183" s="3">
        <f>VLOOKUP(A183,'8-Kath'!$A$2:$G$32,5,FALSE)</f>
        <v>8</v>
      </c>
      <c r="I183" s="3" t="str">
        <f>VLOOKUP(A183,'8-Kath'!$A$2:$G$32,6,FALSE)</f>
        <v>2 advisors</v>
      </c>
      <c r="J183" s="3">
        <f>VLOOKUP(A183,'8-Kath'!$A$2:$H$47,8,FALSE)</f>
        <v>0</v>
      </c>
    </row>
    <row r="184" spans="1:10" x14ac:dyDescent="0.35">
      <c r="A184" s="4" t="s">
        <v>366</v>
      </c>
      <c r="B184" s="4" t="s">
        <v>367</v>
      </c>
      <c r="C184" t="s">
        <v>96</v>
      </c>
      <c r="D184" s="3">
        <f>_xlfn.XLOOKUP(C184,'Territory List'!$D$2:$D$352,'Territory List'!$G$2:$G$352)</f>
        <v>8</v>
      </c>
      <c r="E184" s="10">
        <f>VLOOKUP(A184,'8-Kath'!$A$2:$G$32,3,FALSE)</f>
        <v>46097</v>
      </c>
      <c r="F184" s="10">
        <f>VLOOKUP(A184,'8-Kath'!$A$2:$H$47,7,FALSE)</f>
        <v>46267</v>
      </c>
      <c r="G184" s="3" t="str">
        <f>VLOOKUP(A184,'8-Kath'!$A$2:$G$32,4,FALSE)</f>
        <v>-</v>
      </c>
      <c r="H184" s="3">
        <f>VLOOKUP(A184,'8-Kath'!$A$2:$G$32,5,FALSE)</f>
        <v>5</v>
      </c>
      <c r="I184" s="3" t="str">
        <f>VLOOKUP(A184,'8-Kath'!$A$2:$G$32,6,FALSE)</f>
        <v>-</v>
      </c>
      <c r="J184" s="3">
        <f>VLOOKUP(A184,'8-Kath'!$A$2:$H$47,8,FALSE)</f>
        <v>0</v>
      </c>
    </row>
    <row r="185" spans="1:10" x14ac:dyDescent="0.35">
      <c r="A185" s="4" t="s">
        <v>913</v>
      </c>
      <c r="B185" s="4" t="s">
        <v>586</v>
      </c>
      <c r="C185" t="s">
        <v>199</v>
      </c>
      <c r="D185" s="3">
        <f>_xlfn.XLOOKUP(C185,'Territory List'!$D$2:$D$352,'Territory List'!$G$2:$G$352)</f>
        <v>9</v>
      </c>
      <c r="E185" s="10" t="str">
        <f>VLOOKUP(A185,'9-Kath'!$A$2:$F$30,3,FALSE)</f>
        <v>emailed PR</v>
      </c>
      <c r="F185" s="10">
        <f>VLOOKUP(A185,'9-Kath'!$A$1:$H$43,7,FALSE)</f>
        <v>0</v>
      </c>
      <c r="G185" s="3" t="str">
        <f>VLOOKUP(A185,'9-Kath'!$A$2:$F$30,4,FALSE)</f>
        <v>-</v>
      </c>
      <c r="H185" s="3" t="str">
        <f>VLOOKUP(A185,'9-Kath'!$A$2:$F$30,5,FALSE)</f>
        <v>-</v>
      </c>
      <c r="I185" s="3" t="str">
        <f>VLOOKUP(A185,'9-Kath'!$A$2:$F$30,6,FALSE)</f>
        <v>-</v>
      </c>
      <c r="J185" s="3">
        <f>VLOOKUP(A185,'9-Kath'!$A$1:$H$43,8,FALSE)</f>
        <v>0</v>
      </c>
    </row>
    <row r="186" spans="1:10" x14ac:dyDescent="0.35">
      <c r="A186" s="4" t="s">
        <v>912</v>
      </c>
      <c r="B186" s="4" t="s">
        <v>586</v>
      </c>
      <c r="C186" t="s">
        <v>199</v>
      </c>
      <c r="D186" s="3">
        <f>_xlfn.XLOOKUP(C186,'Territory List'!$D$2:$D$352,'Territory List'!$G$2:$G$352)</f>
        <v>9</v>
      </c>
      <c r="E186" s="10" t="str">
        <f>VLOOKUP(A186,'9-Kath'!$A$2:$F$30,3,FALSE)</f>
        <v>emailed PR</v>
      </c>
      <c r="F186" s="10">
        <f>VLOOKUP(A186,'9-Kath'!$A$1:$H$43,7,FALSE)</f>
        <v>0</v>
      </c>
      <c r="G186" s="3" t="str">
        <f>VLOOKUP(A186,'9-Kath'!$A$2:$F$30,4,FALSE)</f>
        <v>-</v>
      </c>
      <c r="H186" s="3" t="str">
        <f>VLOOKUP(A186,'9-Kath'!$A$2:$F$30,5,FALSE)</f>
        <v>-</v>
      </c>
      <c r="I186" s="3" t="str">
        <f>VLOOKUP(A186,'9-Kath'!$A$2:$F$30,6,FALSE)</f>
        <v>-</v>
      </c>
      <c r="J186" s="3">
        <f>VLOOKUP(A186,'9-Kath'!$A$1:$H$43,8,FALSE)</f>
        <v>0</v>
      </c>
    </row>
    <row r="187" spans="1:10" x14ac:dyDescent="0.35">
      <c r="A187" s="4" t="s">
        <v>898</v>
      </c>
      <c r="B187" s="4" t="s">
        <v>697</v>
      </c>
      <c r="C187" t="s">
        <v>226</v>
      </c>
      <c r="D187" s="3">
        <f>_xlfn.XLOOKUP(C187,'Territory List'!$D$2:$D$352,'Territory List'!$G$2:$G$352)</f>
        <v>9</v>
      </c>
      <c r="E187" s="10">
        <f>VLOOKUP(A187,'9-Kath'!$A$2:$F$30,3,FALSE)</f>
        <v>46183</v>
      </c>
      <c r="F187" s="10">
        <f>VLOOKUP(A187,'9-Kath'!$A$1:$H$43,7,FALSE)</f>
        <v>46282</v>
      </c>
      <c r="G187" s="3" t="str">
        <f>VLOOKUP(A187,'9-Kath'!$A$2:$F$30,4,FALSE)</f>
        <v>2 people needed if Dan is in the meeting</v>
      </c>
      <c r="H187" s="3">
        <f>VLOOKUP(A187,'9-Kath'!$A$2:$F$30,5,FALSE)</f>
        <v>3</v>
      </c>
      <c r="I187" s="3" t="str">
        <f>VLOOKUP(A187,'9-Kath'!$A$2:$F$30,6,FALSE)</f>
        <v>2 advisors</v>
      </c>
      <c r="J187" s="3">
        <f>VLOOKUP(A187,'9-Kath'!$A$1:$H$43,8,FALSE)</f>
        <v>0</v>
      </c>
    </row>
    <row r="188" spans="1:10" x14ac:dyDescent="0.35">
      <c r="A188" s="4" t="s">
        <v>868</v>
      </c>
      <c r="B188" s="4" t="s">
        <v>939</v>
      </c>
      <c r="C188" t="s">
        <v>223</v>
      </c>
      <c r="D188" s="3">
        <f>_xlfn.XLOOKUP(C188,'Territory List'!$D$2:$D$352,'Territory List'!$G$2:$G$352)</f>
        <v>9</v>
      </c>
      <c r="E188" s="10">
        <f>VLOOKUP(A188,'9-Kath'!$A$2:$F$30,3,FALSE)</f>
        <v>46160</v>
      </c>
      <c r="F188" s="10">
        <f>VLOOKUP(A188,'9-Kath'!$A$1:$H$43,7,FALSE)</f>
        <v>46282</v>
      </c>
      <c r="G188" s="3" t="str">
        <f>VLOOKUP(A188,'9-Kath'!$A$2:$F$30,4,FALSE)</f>
        <v>-</v>
      </c>
      <c r="H188" s="3" t="str">
        <f>VLOOKUP(A188,'9-Kath'!$A$2:$F$30,5,FALSE)</f>
        <v>-</v>
      </c>
      <c r="I188" s="3" t="str">
        <f>VLOOKUP(A188,'9-Kath'!$A$2:$F$30,6,FALSE)</f>
        <v>-</v>
      </c>
      <c r="J188" s="3">
        <f>VLOOKUP(A188,'9-Kath'!$A$1:$H$43,8,FALSE)</f>
        <v>0</v>
      </c>
    </row>
    <row r="189" spans="1:10" x14ac:dyDescent="0.35">
      <c r="A189" s="4" t="s">
        <v>867</v>
      </c>
      <c r="B189" s="4" t="s">
        <v>961</v>
      </c>
      <c r="C189" t="s">
        <v>210</v>
      </c>
      <c r="D189" s="3">
        <f>_xlfn.XLOOKUP(C189,'Territory List'!$D$2:$D$352,'Territory List'!$G$2:$G$352)</f>
        <v>9</v>
      </c>
      <c r="E189" s="10" t="str">
        <f>VLOOKUP(A189,'9-Kath'!$A$2:$F$30,3,FALSE)</f>
        <v>emailed PR</v>
      </c>
      <c r="F189" s="10">
        <f>VLOOKUP(A189,'9-Kath'!$A$1:$H$43,7,FALSE)</f>
        <v>0</v>
      </c>
      <c r="G189" s="3" t="str">
        <f>VLOOKUP(A189,'9-Kath'!$A$2:$F$30,4,FALSE)</f>
        <v>-</v>
      </c>
      <c r="H189" s="3" t="str">
        <f>VLOOKUP(A189,'9-Kath'!$A$2:$F$30,5,FALSE)</f>
        <v>-</v>
      </c>
      <c r="I189" s="3" t="str">
        <f>VLOOKUP(A189,'9-Kath'!$A$2:$F$30,6,FALSE)</f>
        <v>-</v>
      </c>
      <c r="J189" s="3">
        <f>VLOOKUP(A189,'9-Kath'!$A$1:$H$43,8,FALSE)</f>
        <v>0</v>
      </c>
    </row>
    <row r="190" spans="1:10" x14ac:dyDescent="0.35">
      <c r="A190" s="4" t="s">
        <v>792</v>
      </c>
      <c r="B190" s="4" t="s">
        <v>793</v>
      </c>
      <c r="C190" t="s">
        <v>218</v>
      </c>
      <c r="D190" s="3">
        <f>_xlfn.XLOOKUP(C190,'Territory List'!$D$2:$D$352,'Territory List'!$G$2:$G$352)</f>
        <v>9</v>
      </c>
      <c r="E190" s="10">
        <f>VLOOKUP(A190,'9-Kath'!$A$2:$F$30,3,FALSE)</f>
        <v>46128</v>
      </c>
      <c r="F190" s="10">
        <f>VLOOKUP(A190,'9-Kath'!$A$1:$H$43,7,FALSE)</f>
        <v>46268</v>
      </c>
      <c r="G190" s="3" t="str">
        <f>VLOOKUP(A190,'9-Kath'!$A$2:$F$30,4,FALSE)</f>
        <v>-</v>
      </c>
      <c r="H190" s="3" t="str">
        <f>VLOOKUP(A190,'9-Kath'!$A$2:$F$30,5,FALSE)</f>
        <v>-</v>
      </c>
      <c r="I190" s="3" t="str">
        <f>VLOOKUP(A190,'9-Kath'!$A$2:$F$30,6,FALSE)</f>
        <v>-</v>
      </c>
      <c r="J190" s="3">
        <f>VLOOKUP(A190,'9-Kath'!$A$1:$H$43,8,FALSE)</f>
        <v>0</v>
      </c>
    </row>
    <row r="191" spans="1:10" x14ac:dyDescent="0.35">
      <c r="A191" s="4" t="s">
        <v>712</v>
      </c>
      <c r="B191" s="4" t="s">
        <v>455</v>
      </c>
      <c r="C191" t="s">
        <v>190</v>
      </c>
      <c r="D191" s="3">
        <f>_xlfn.XLOOKUP(C191,'Territory List'!$D$2:$D$352,'Territory List'!$G$2:$G$352)</f>
        <v>9</v>
      </c>
      <c r="E191" s="10">
        <f>VLOOKUP(A191,'9-Kath'!$A$2:$F$30,3,FALSE)</f>
        <v>46146</v>
      </c>
      <c r="F191" s="10">
        <f>VLOOKUP(A191,'9-Kath'!$A$1:$H$43,7,FALSE)</f>
        <v>0</v>
      </c>
      <c r="G191" s="3" t="str">
        <f>VLOOKUP(A191,'9-Kath'!$A$2:$F$30,4,FALSE)</f>
        <v>-</v>
      </c>
      <c r="H191" s="3">
        <f>VLOOKUP(A191,'9-Kath'!$A$2:$F$30,5,FALSE)</f>
        <v>3</v>
      </c>
      <c r="I191" s="3" t="str">
        <f>VLOOKUP(A191,'9-Kath'!$A$2:$F$30,6,FALSE)</f>
        <v>-</v>
      </c>
      <c r="J191" s="3">
        <f>VLOOKUP(A191,'9-Kath'!$A$1:$H$43,8,FALSE)</f>
        <v>0</v>
      </c>
    </row>
    <row r="192" spans="1:10" x14ac:dyDescent="0.35">
      <c r="A192" s="4" t="s">
        <v>709</v>
      </c>
      <c r="B192" s="4" t="s">
        <v>710</v>
      </c>
      <c r="C192" t="s">
        <v>212</v>
      </c>
      <c r="D192" s="3">
        <f>_xlfn.XLOOKUP(C192,'Territory List'!$D$2:$D$352,'Territory List'!$G$2:$G$352)</f>
        <v>9</v>
      </c>
      <c r="E192" s="10">
        <f>VLOOKUP(A192,'9-Kath'!$A$2:$F$30,3,FALSE)</f>
        <v>46128</v>
      </c>
      <c r="F192" s="10">
        <f>VLOOKUP(A192,'9-Kath'!$A$1:$H$43,7,FALSE)</f>
        <v>0</v>
      </c>
      <c r="G192" s="3" t="str">
        <f>VLOOKUP(A192,'9-Kath'!$A$2:$F$30,4,FALSE)</f>
        <v>-</v>
      </c>
      <c r="H192" s="3" t="str">
        <f>VLOOKUP(A192,'9-Kath'!$A$2:$F$30,5,FALSE)</f>
        <v>-</v>
      </c>
      <c r="I192" s="3" t="str">
        <f>VLOOKUP(A192,'9-Kath'!$A$2:$F$30,6,FALSE)</f>
        <v>-</v>
      </c>
      <c r="J192" s="3">
        <f>VLOOKUP(A192,'9-Kath'!$A$1:$H$43,8,FALSE)</f>
        <v>0</v>
      </c>
    </row>
    <row r="193" spans="1:10" x14ac:dyDescent="0.35">
      <c r="A193" s="4" t="s">
        <v>705</v>
      </c>
      <c r="B193" s="4" t="s">
        <v>706</v>
      </c>
      <c r="C193" t="s">
        <v>211</v>
      </c>
      <c r="D193" s="3">
        <f>_xlfn.XLOOKUP(C193,'Territory List'!$D$2:$D$352,'Territory List'!$G$2:$G$352)</f>
        <v>9</v>
      </c>
      <c r="E193" s="10">
        <f>VLOOKUP(A193,'9-Kath'!$A$2:$F$30,3,FALSE)</f>
        <v>46147</v>
      </c>
      <c r="F193" s="10">
        <f>VLOOKUP(A193,'9-Kath'!$A$1:$H$43,7,FALSE)</f>
        <v>46281</v>
      </c>
      <c r="G193" s="3" t="str">
        <f>VLOOKUP(A193,'9-Kath'!$A$2:$F$30,4,FALSE)</f>
        <v>Kathleen/Alex when trust cttee meets</v>
      </c>
      <c r="H193" s="3">
        <f>VLOOKUP(A193,'9-Kath'!$A$2:$F$30,5,FALSE)</f>
        <v>3</v>
      </c>
      <c r="I193" s="3" t="str">
        <f>VLOOKUP(A193,'9-Kath'!$A$2:$F$30,6,FALSE)</f>
        <v>-</v>
      </c>
      <c r="J193" s="3">
        <f>VLOOKUP(A193,'9-Kath'!$A$1:$H$43,8,FALSE)</f>
        <v>0</v>
      </c>
    </row>
    <row r="194" spans="1:10" x14ac:dyDescent="0.35">
      <c r="A194" s="4" t="s">
        <v>704</v>
      </c>
      <c r="B194" s="4" t="s">
        <v>961</v>
      </c>
      <c r="C194" t="s">
        <v>210</v>
      </c>
      <c r="D194" s="3">
        <f>_xlfn.XLOOKUP(C194,'Territory List'!$D$2:$D$352,'Territory List'!$G$2:$G$352)</f>
        <v>9</v>
      </c>
      <c r="E194" s="10">
        <f>VLOOKUP(A194,'9-Kath'!$A$2:$F$30,3,FALSE)</f>
        <v>46140</v>
      </c>
      <c r="F194" s="10">
        <f>VLOOKUP(A194,'9-Kath'!$A$1:$H$43,7,FALSE)</f>
        <v>0</v>
      </c>
      <c r="G194" s="3" t="str">
        <f>VLOOKUP(A194,'9-Kath'!$A$2:$F$30,4,FALSE)</f>
        <v xml:space="preserve">NEXT REVIEW in fall: Brenna, Town Admin, and Diane </v>
      </c>
      <c r="H194" s="3">
        <f>VLOOKUP(A194,'9-Kath'!$A$2:$F$30,5,FALSE)</f>
        <v>3</v>
      </c>
      <c r="I194" s="3" t="str">
        <f>VLOOKUP(A194,'9-Kath'!$A$2:$F$30,6,FALSE)</f>
        <v>-</v>
      </c>
      <c r="J194" s="3">
        <f>VLOOKUP(A194,'9-Kath'!$A$1:$H$43,8,FALSE)</f>
        <v>0</v>
      </c>
    </row>
    <row r="195" spans="1:10" x14ac:dyDescent="0.35">
      <c r="A195" s="4" t="s">
        <v>696</v>
      </c>
      <c r="B195" s="4" t="s">
        <v>697</v>
      </c>
      <c r="C195" t="s">
        <v>226</v>
      </c>
      <c r="D195" s="3">
        <f>_xlfn.XLOOKUP(C195,'Territory List'!$D$2:$D$352,'Territory List'!$G$2:$G$352)</f>
        <v>9</v>
      </c>
      <c r="E195" s="10" t="str">
        <f>VLOOKUP(A195,'9-Kath'!$A$2:$F$30,3,FALSE)</f>
        <v>-</v>
      </c>
      <c r="F195" s="10">
        <f>VLOOKUP(A195,'9-Kath'!$A$1:$H$43,7,FALSE)</f>
        <v>0</v>
      </c>
      <c r="G195" s="3" t="str">
        <f>VLOOKUP(A195,'9-Kath'!$A$2:$F$30,4,FALSE)</f>
        <v>Fall Meeting Review Only</v>
      </c>
      <c r="H195" s="3">
        <f>VLOOKUP(A195,'9-Kath'!$A$2:$F$30,5,FALSE)</f>
        <v>11</v>
      </c>
      <c r="I195" s="3" t="str">
        <f>VLOOKUP(A195,'9-Kath'!$A$2:$F$30,6,FALSE)</f>
        <v>-</v>
      </c>
      <c r="J195" s="3">
        <f>VLOOKUP(A195,'9-Kath'!$A$1:$H$43,8,FALSE)</f>
        <v>0</v>
      </c>
    </row>
    <row r="196" spans="1:10" x14ac:dyDescent="0.35">
      <c r="A196" s="4" t="s">
        <v>672</v>
      </c>
      <c r="B196" s="4" t="s">
        <v>673</v>
      </c>
      <c r="C196" t="s">
        <v>207</v>
      </c>
      <c r="D196" s="3">
        <f>_xlfn.XLOOKUP(C196,'Territory List'!$D$2:$D$352,'Territory List'!$G$2:$G$352)</f>
        <v>9</v>
      </c>
      <c r="E196" s="10">
        <f>VLOOKUP(A196,'9-Kath'!$A$2:$F$30,3,FALSE)</f>
        <v>46174</v>
      </c>
      <c r="F196" s="10" t="str">
        <f>VLOOKUP(A196,'9-Kath'!$A$1:$H$43,7,FALSE)</f>
        <v>9/16/26?</v>
      </c>
      <c r="G196" s="3" t="str">
        <f>VLOOKUP(A196,'9-Kath'!$A$2:$F$30,4,FALSE)</f>
        <v>Sent performance report</v>
      </c>
      <c r="H196" s="3" t="str">
        <f>VLOOKUP(A196,'9-Kath'!$A$2:$F$30,5,FALSE)</f>
        <v>-</v>
      </c>
      <c r="I196" s="3" t="str">
        <f>VLOOKUP(A196,'9-Kath'!$A$2:$F$30,6,FALSE)</f>
        <v>-</v>
      </c>
      <c r="J196" s="3">
        <f>VLOOKUP(A196,'9-Kath'!$A$1:$H$43,8,FALSE)</f>
        <v>0</v>
      </c>
    </row>
    <row r="197" spans="1:10" x14ac:dyDescent="0.35">
      <c r="A197" s="4" t="s">
        <v>668</v>
      </c>
      <c r="B197" s="4" t="s">
        <v>669</v>
      </c>
      <c r="C197" t="s">
        <v>206</v>
      </c>
      <c r="D197" s="3">
        <f>_xlfn.XLOOKUP(C197,'Territory List'!$D$2:$D$352,'Territory List'!$G$2:$G$352)</f>
        <v>9</v>
      </c>
      <c r="E197" s="10">
        <f>VLOOKUP(A197,'9-Kath'!$A$2:$F$30,3,FALSE)</f>
        <v>46128</v>
      </c>
      <c r="F197" s="10">
        <f>VLOOKUP(A197,'9-Kath'!$A$1:$H$43,7,FALSE)</f>
        <v>46268</v>
      </c>
      <c r="G197" s="3" t="str">
        <f>VLOOKUP(A197,'9-Kath'!$A$2:$F$30,4,FALSE)</f>
        <v>Email review to Treas &amp; Acctant prior to meeting</v>
      </c>
      <c r="H197" s="3" t="str">
        <f>VLOOKUP(A197,'9-Kath'!$A$2:$F$30,5,FALSE)</f>
        <v>8? OPEB</v>
      </c>
      <c r="I197" s="3" t="str">
        <f>VLOOKUP(A197,'9-Kath'!$A$2:$F$30,6,FALSE)</f>
        <v>-</v>
      </c>
      <c r="J197" s="3">
        <f>VLOOKUP(A197,'9-Kath'!$A$1:$H$43,8,FALSE)</f>
        <v>0</v>
      </c>
    </row>
    <row r="198" spans="1:10" x14ac:dyDescent="0.35">
      <c r="A198" s="4" t="s">
        <v>634</v>
      </c>
      <c r="B198" s="4" t="s">
        <v>635</v>
      </c>
      <c r="C198" t="s">
        <v>202</v>
      </c>
      <c r="D198" s="3">
        <f>_xlfn.XLOOKUP(C198,'Territory List'!$D$2:$D$352,'Territory List'!$G$2:$G$352)</f>
        <v>9</v>
      </c>
      <c r="E198" s="10" t="str">
        <f>VLOOKUP(A198,'9-Kath'!$A$2:$F$30,3,FALSE)</f>
        <v>-</v>
      </c>
      <c r="F198" s="10" t="str">
        <f>VLOOKUP(A198,'9-Kath'!$A$1:$H$43,7,FALSE)</f>
        <v>9/17/26?</v>
      </c>
      <c r="G198" s="3" t="str">
        <f>VLOOKUP(A198,'9-Kath'!$A$2:$F$30,4,FALSE)</f>
        <v>Annual Meeting Only January</v>
      </c>
      <c r="H198" s="3" t="str">
        <f>VLOOKUP(A198,'9-Kath'!$A$2:$F$30,5,FALSE)</f>
        <v>CY9</v>
      </c>
      <c r="I198" s="3" t="str">
        <f>VLOOKUP(A198,'9-Kath'!$A$2:$F$30,6,FALSE)</f>
        <v>2 advisors</v>
      </c>
      <c r="J198" s="3">
        <f>VLOOKUP(A198,'9-Kath'!$A$1:$H$43,8,FALSE)</f>
        <v>0</v>
      </c>
    </row>
    <row r="199" spans="1:10" x14ac:dyDescent="0.35">
      <c r="A199" s="4" t="s">
        <v>615</v>
      </c>
      <c r="B199" s="4" t="s">
        <v>567</v>
      </c>
      <c r="C199" t="s">
        <v>197</v>
      </c>
      <c r="D199" s="3">
        <f>_xlfn.XLOOKUP(C199,'Territory List'!$D$2:$D$352,'Territory List'!$G$2:$G$352)</f>
        <v>9</v>
      </c>
      <c r="E199" s="10">
        <f>VLOOKUP(A199,'9-Kath'!$A$2:$F$30,3,FALSE)</f>
        <v>46154</v>
      </c>
      <c r="F199" s="10">
        <f>VLOOKUP(A199,'9-Kath'!$A$1:$H$43,7,FALSE)</f>
        <v>0</v>
      </c>
      <c r="G199" s="3" t="str">
        <f>VLOOKUP(A199,'9-Kath'!$A$2:$F$30,4,FALSE)</f>
        <v>-</v>
      </c>
      <c r="H199" s="3">
        <f>VLOOKUP(A199,'9-Kath'!$A$2:$F$30,5,FALSE)</f>
        <v>3</v>
      </c>
      <c r="I199" s="3" t="str">
        <f>VLOOKUP(A199,'9-Kath'!$A$2:$F$30,6,FALSE)</f>
        <v>-</v>
      </c>
      <c r="J199" s="3">
        <f>VLOOKUP(A199,'9-Kath'!$A$1:$H$43,8,FALSE)</f>
        <v>0</v>
      </c>
    </row>
    <row r="200" spans="1:10" x14ac:dyDescent="0.35">
      <c r="A200" s="4" t="s">
        <v>585</v>
      </c>
      <c r="B200" s="4" t="s">
        <v>586</v>
      </c>
      <c r="C200" t="s">
        <v>199</v>
      </c>
      <c r="D200" s="3">
        <f>_xlfn.XLOOKUP(C200,'Territory List'!$D$2:$D$352,'Territory List'!$G$2:$G$352)</f>
        <v>9</v>
      </c>
      <c r="E200" s="10">
        <f>VLOOKUP(A200,'9-Kath'!$A$2:$F$30,3,FALSE)</f>
        <v>46160</v>
      </c>
      <c r="F200" s="10">
        <f>VLOOKUP(A200,'9-Kath'!$A$1:$H$43,7,FALSE)</f>
        <v>0</v>
      </c>
      <c r="G200" s="3" t="str">
        <f>VLOOKUP(A200,'9-Kath'!$A$2:$F$30,4,FALSE)</f>
        <v>-</v>
      </c>
      <c r="H200" s="3" t="str">
        <f>VLOOKUP(A200,'9-Kath'!$A$2:$F$30,5,FALSE)</f>
        <v>-</v>
      </c>
      <c r="I200" s="3" t="str">
        <f>VLOOKUP(A200,'9-Kath'!$A$2:$F$30,6,FALSE)</f>
        <v>-</v>
      </c>
      <c r="J200" s="3">
        <f>VLOOKUP(A200,'9-Kath'!$A$1:$H$43,8,FALSE)</f>
        <v>0</v>
      </c>
    </row>
    <row r="201" spans="1:10" x14ac:dyDescent="0.35">
      <c r="A201" s="4" t="s">
        <v>566</v>
      </c>
      <c r="B201" s="4" t="s">
        <v>567</v>
      </c>
      <c r="C201" t="s">
        <v>197</v>
      </c>
      <c r="D201" s="3">
        <f>_xlfn.XLOOKUP(C201,'Territory List'!$D$2:$D$352,'Territory List'!$G$2:$G$352)</f>
        <v>9</v>
      </c>
      <c r="E201" s="10">
        <f>VLOOKUP(A201,'9-Kath'!$A$2:$F$30,3,FALSE)</f>
        <v>46183</v>
      </c>
      <c r="F201" s="10">
        <f>VLOOKUP(A201,'9-Kath'!$A$1:$H$43,7,FALSE)</f>
        <v>0</v>
      </c>
      <c r="G201" s="3" t="str">
        <f>VLOOKUP(A201,'9-Kath'!$A$2:$F$30,4,FALSE)</f>
        <v>-</v>
      </c>
      <c r="H201" s="3" t="str">
        <f>VLOOKUP(A201,'9-Kath'!$A$2:$F$30,5,FALSE)</f>
        <v>-</v>
      </c>
      <c r="I201" s="3" t="str">
        <f>VLOOKUP(A201,'9-Kath'!$A$2:$F$30,6,FALSE)</f>
        <v>-</v>
      </c>
      <c r="J201" s="3">
        <f>VLOOKUP(A201,'9-Kath'!$A$1:$H$43,8,FALSE)</f>
        <v>0</v>
      </c>
    </row>
    <row r="202" spans="1:10" x14ac:dyDescent="0.35">
      <c r="A202" s="4" t="s">
        <v>561</v>
      </c>
      <c r="B202" s="4" t="s">
        <v>378</v>
      </c>
      <c r="C202" t="s">
        <v>185</v>
      </c>
      <c r="D202" s="3">
        <f>_xlfn.XLOOKUP(C202,'Territory List'!$D$2:$D$352,'Territory List'!$G$2:$G$352)</f>
        <v>9</v>
      </c>
      <c r="E202" s="10" t="str">
        <f>VLOOKUP(A202,'9-Kath'!$A$2:$F$30,3,FALSE)</f>
        <v>-</v>
      </c>
      <c r="F202" s="10">
        <f>VLOOKUP(A202,'9-Kath'!$A$1:$H$43,7,FALSE)</f>
        <v>0</v>
      </c>
      <c r="G202" s="3" t="str">
        <f>VLOOKUP(A202,'9-Kath'!$A$2:$F$30,4,FALSE)</f>
        <v>3 regular 14 for entire committee/sent perf report</v>
      </c>
      <c r="H202" s="3" t="str">
        <f>VLOOKUP(A202,'9-Kath'!$A$2:$F$30,5,FALSE)</f>
        <v>-</v>
      </c>
      <c r="I202" s="3" t="str">
        <f>VLOOKUP(A202,'9-Kath'!$A$2:$F$30,6,FALSE)</f>
        <v>-</v>
      </c>
      <c r="J202" s="3">
        <f>VLOOKUP(A202,'9-Kath'!$A$1:$H$43,8,FALSE)</f>
        <v>0</v>
      </c>
    </row>
    <row r="203" spans="1:10" x14ac:dyDescent="0.35">
      <c r="A203" s="4" t="s">
        <v>548</v>
      </c>
      <c r="B203" s="4" t="s">
        <v>549</v>
      </c>
      <c r="C203" t="s">
        <v>195</v>
      </c>
      <c r="D203" s="3">
        <f>_xlfn.XLOOKUP(C203,'Territory List'!$D$2:$D$352,'Territory List'!$G$2:$G$352)</f>
        <v>9</v>
      </c>
      <c r="E203" s="10" t="str">
        <f>VLOOKUP(A203,'9-Kath'!$A$2:$F$30,3,FALSE)</f>
        <v>emailed PR</v>
      </c>
      <c r="F203" s="10">
        <f>VLOOKUP(A203,'9-Kath'!$A$1:$H$43,7,FALSE)</f>
        <v>0</v>
      </c>
      <c r="G203" s="3" t="str">
        <f>VLOOKUP(A203,'9-Kath'!$A$2:$F$30,4,FALSE)</f>
        <v>-</v>
      </c>
      <c r="H203" s="3" t="str">
        <f>VLOOKUP(A203,'9-Kath'!$A$2:$F$30,5,FALSE)</f>
        <v>-</v>
      </c>
      <c r="I203" s="3" t="str">
        <f>VLOOKUP(A203,'9-Kath'!$A$2:$F$30,6,FALSE)</f>
        <v>-</v>
      </c>
      <c r="J203" s="3">
        <f>VLOOKUP(A203,'9-Kath'!$A$1:$H$43,8,FALSE)</f>
        <v>0</v>
      </c>
    </row>
    <row r="204" spans="1:10" x14ac:dyDescent="0.35">
      <c r="A204" s="4" t="s">
        <v>500</v>
      </c>
      <c r="B204" s="4" t="s">
        <v>501</v>
      </c>
      <c r="C204" t="s">
        <v>193</v>
      </c>
      <c r="D204" s="3">
        <f>_xlfn.XLOOKUP(C204,'Territory List'!$D$2:$D$352,'Territory List'!$G$2:$G$352)</f>
        <v>9</v>
      </c>
      <c r="E204" s="10">
        <f>VLOOKUP(A204,'9-Kath'!$A$2:$F$30,3,FALSE)</f>
        <v>46174</v>
      </c>
      <c r="F204" s="10" t="str">
        <f>VLOOKUP(A204,'9-Kath'!$A$1:$H$43,7,FALSE)</f>
        <v>9/17/26?</v>
      </c>
      <c r="G204" s="3">
        <f>VLOOKUP(A204,'9-Kath'!$A$2:$F$30,4,FALSE)</f>
        <v>0</v>
      </c>
      <c r="H204" s="3" t="str">
        <f>VLOOKUP(A204,'9-Kath'!$A$2:$F$30,5,FALSE)</f>
        <v>-</v>
      </c>
      <c r="I204" s="3" t="str">
        <f>VLOOKUP(A204,'9-Kath'!$A$2:$F$30,6,FALSE)</f>
        <v>-</v>
      </c>
      <c r="J204" s="3">
        <f>VLOOKUP(A204,'9-Kath'!$A$1:$H$43,8,FALSE)</f>
        <v>0</v>
      </c>
    </row>
    <row r="205" spans="1:10" x14ac:dyDescent="0.35">
      <c r="A205" s="4" t="s">
        <v>496</v>
      </c>
      <c r="B205" s="4" t="s">
        <v>497</v>
      </c>
      <c r="C205" t="s">
        <v>192</v>
      </c>
      <c r="D205" s="3">
        <f>_xlfn.XLOOKUP(C205,'Territory List'!$D$2:$D$352,'Territory List'!$G$2:$G$352)</f>
        <v>9</v>
      </c>
      <c r="E205" s="10">
        <f>VLOOKUP(A205,'9-Kath'!$A$2:$F$30,3,FALSE)</f>
        <v>46162</v>
      </c>
      <c r="F205" s="10">
        <f>VLOOKUP(A205,'9-Kath'!$A$1:$H$43,7,FALSE)</f>
        <v>0</v>
      </c>
      <c r="G205" s="3" t="str">
        <f>VLOOKUP(A205,'9-Kath'!$A$2:$F$30,4,FALSE)</f>
        <v xml:space="preserve">book next meeting with Brian &amp; Kathleen </v>
      </c>
      <c r="H205" s="3" t="str">
        <f>VLOOKUP(A205,'9-Kath'!$A$2:$F$30,5,FALSE)</f>
        <v>-</v>
      </c>
      <c r="I205" s="3" t="str">
        <f>VLOOKUP(A205,'9-Kath'!$A$2:$F$30,6,FALSE)</f>
        <v>-</v>
      </c>
      <c r="J205" s="3">
        <f>VLOOKUP(A205,'9-Kath'!$A$1:$H$43,8,FALSE)</f>
        <v>0</v>
      </c>
    </row>
    <row r="206" spans="1:10" x14ac:dyDescent="0.35">
      <c r="A206" s="4" t="s">
        <v>480</v>
      </c>
      <c r="B206" s="4" t="s">
        <v>378</v>
      </c>
      <c r="C206" t="s">
        <v>185</v>
      </c>
      <c r="D206" s="3">
        <f>_xlfn.XLOOKUP(C206,'Territory List'!$D$2:$D$352,'Territory List'!$G$2:$G$352)</f>
        <v>9</v>
      </c>
      <c r="E206" s="10" t="str">
        <f>VLOOKUP(A206,'9-Kath'!$A$2:$F$30,3,FALSE)</f>
        <v>-</v>
      </c>
      <c r="F206" s="10">
        <f>VLOOKUP(A206,'9-Kath'!$A$1:$H$43,7,FALSE)</f>
        <v>0</v>
      </c>
      <c r="G206" s="3" t="str">
        <f>VLOOKUP(A206,'9-Kath'!$A$2:$F$30,4,FALSE)</f>
        <v>Meeting with Eric &amp; Jim once a year only</v>
      </c>
      <c r="H206" s="3" t="str">
        <f>VLOOKUP(A206,'9-Kath'!$A$2:$F$30,5,FALSE)</f>
        <v>-</v>
      </c>
      <c r="I206" s="3" t="str">
        <f>VLOOKUP(A206,'9-Kath'!$A$2:$F$30,6,FALSE)</f>
        <v>-</v>
      </c>
      <c r="J206" s="3">
        <f>VLOOKUP(A206,'9-Kath'!$A$1:$H$43,8,FALSE)</f>
        <v>0</v>
      </c>
    </row>
    <row r="207" spans="1:10" x14ac:dyDescent="0.35">
      <c r="A207" s="4" t="s">
        <v>454</v>
      </c>
      <c r="B207" s="4" t="s">
        <v>455</v>
      </c>
      <c r="C207" t="s">
        <v>190</v>
      </c>
      <c r="D207" s="3">
        <f>_xlfn.XLOOKUP(C207,'Territory List'!$D$2:$D$352,'Territory List'!$G$2:$G$352)</f>
        <v>9</v>
      </c>
      <c r="E207" s="10">
        <f>VLOOKUP(A207,'9-Kath'!$A$2:$F$30,3,FALSE)</f>
        <v>46146</v>
      </c>
      <c r="F207" s="10">
        <f>VLOOKUP(A207,'9-Kath'!$A$1:$H$43,7,FALSE)</f>
        <v>0</v>
      </c>
      <c r="G207" s="3" t="str">
        <f>VLOOKUP(A207,'9-Kath'!$A$2:$F$30,4,FALSE)</f>
        <v>-</v>
      </c>
      <c r="H207" s="3">
        <f>VLOOKUP(A207,'9-Kath'!$A$2:$F$30,5,FALSE)</f>
        <v>3</v>
      </c>
      <c r="I207" s="3" t="str">
        <f>VLOOKUP(A207,'9-Kath'!$A$2:$F$30,6,FALSE)</f>
        <v>-</v>
      </c>
      <c r="J207" s="3">
        <f>VLOOKUP(A207,'9-Kath'!$A$1:$H$43,8,FALSE)</f>
        <v>0</v>
      </c>
    </row>
    <row r="208" spans="1:10" x14ac:dyDescent="0.35">
      <c r="A208" s="4" t="s">
        <v>444</v>
      </c>
      <c r="B208" s="4" t="s">
        <v>445</v>
      </c>
      <c r="C208" t="s">
        <v>189</v>
      </c>
      <c r="D208" s="3">
        <f>_xlfn.XLOOKUP(C208,'Territory List'!$D$2:$D$352,'Territory List'!$G$2:$G$352)</f>
        <v>9</v>
      </c>
      <c r="E208" s="10">
        <f>VLOOKUP(A208,'9-Kath'!$A$2:$F$30,3,FALSE)</f>
        <v>46181</v>
      </c>
      <c r="F208" s="10">
        <f>VLOOKUP(A208,'9-Kath'!$A$1:$H$43,7,FALSE)</f>
        <v>0</v>
      </c>
      <c r="G208" s="3" t="str">
        <f>VLOOKUP(A208,'9-Kath'!$A$2:$F$30,4,FALSE)</f>
        <v>-</v>
      </c>
      <c r="H208" s="3" t="str">
        <f>VLOOKUP(A208,'9-Kath'!$A$2:$F$30,5,FALSE)</f>
        <v>-</v>
      </c>
      <c r="I208" s="3" t="str">
        <f>VLOOKUP(A208,'9-Kath'!$A$2:$F$30,6,FALSE)</f>
        <v>-</v>
      </c>
      <c r="J208" s="3">
        <f>VLOOKUP(A208,'9-Kath'!$A$1:$H$43,8,FALSE)</f>
        <v>0</v>
      </c>
    </row>
    <row r="209" spans="1:10" x14ac:dyDescent="0.35">
      <c r="A209" s="4" t="s">
        <v>426</v>
      </c>
      <c r="B209" s="4" t="s">
        <v>427</v>
      </c>
      <c r="C209" t="s">
        <v>188</v>
      </c>
      <c r="D209" s="3">
        <f>_xlfn.XLOOKUP(C209,'Territory List'!$D$2:$D$352,'Territory List'!$G$2:$G$352)</f>
        <v>9</v>
      </c>
      <c r="E209" s="10">
        <f>VLOOKUP(A209,'9-Kath'!$A$2:$F$30,3,FALSE)</f>
        <v>46160</v>
      </c>
      <c r="F209" s="10">
        <f>VLOOKUP(A209,'9-Kath'!$A$1:$H$43,7,FALSE)</f>
        <v>0</v>
      </c>
      <c r="G209" s="3" t="str">
        <f>VLOOKUP(A209,'9-Kath'!$A$2:$F$30,4,FALSE)</f>
        <v>-</v>
      </c>
      <c r="H209" s="3" t="str">
        <f>VLOOKUP(A209,'9-Kath'!$A$2:$F$30,5,FALSE)</f>
        <v>-</v>
      </c>
      <c r="I209" s="3" t="str">
        <f>VLOOKUP(A209,'9-Kath'!$A$2:$F$30,6,FALSE)</f>
        <v>-</v>
      </c>
      <c r="J209" s="3">
        <f>VLOOKUP(A209,'9-Kath'!$A$1:$H$43,8,FALSE)</f>
        <v>0</v>
      </c>
    </row>
    <row r="210" spans="1:10" x14ac:dyDescent="0.35">
      <c r="A210" s="4" t="s">
        <v>416</v>
      </c>
      <c r="B210" s="4" t="s">
        <v>417</v>
      </c>
      <c r="C210" t="s">
        <v>187</v>
      </c>
      <c r="D210" s="3">
        <f>_xlfn.XLOOKUP(C210,'Territory List'!$D$2:$D$352,'Territory List'!$G$2:$G$352)</f>
        <v>9</v>
      </c>
      <c r="E210" s="10">
        <f>VLOOKUP(A210,'9-Kath'!$A$2:$F$30,3,FALSE)</f>
        <v>46146</v>
      </c>
      <c r="F210" s="10" t="str">
        <f>VLOOKUP(A210,'9-Kath'!$A$1:$H$43,7,FALSE)</f>
        <v xml:space="preserve">9/3/26? </v>
      </c>
      <c r="G210" s="3" t="str">
        <f>VLOOKUP(A210,'9-Kath'!$A$2:$F$30,4,FALSE)</f>
        <v>-</v>
      </c>
      <c r="H210" s="3" t="str">
        <f>VLOOKUP(A210,'9-Kath'!$A$2:$F$30,5,FALSE)</f>
        <v>-</v>
      </c>
      <c r="I210" s="3" t="str">
        <f>VLOOKUP(A210,'9-Kath'!$A$2:$F$30,6,FALSE)</f>
        <v>-</v>
      </c>
      <c r="J210" s="3">
        <f>VLOOKUP(A210,'9-Kath'!$A$1:$H$43,8,FALSE)</f>
        <v>0</v>
      </c>
    </row>
    <row r="211" spans="1:10" x14ac:dyDescent="0.35">
      <c r="A211" s="4" t="s">
        <v>377</v>
      </c>
      <c r="B211" s="4" t="s">
        <v>378</v>
      </c>
      <c r="C211" t="s">
        <v>185</v>
      </c>
      <c r="D211" s="3">
        <f>_xlfn.XLOOKUP(C211,'Territory List'!$D$2:$D$352,'Territory List'!$G$2:$G$352)</f>
        <v>9</v>
      </c>
      <c r="E211" s="10">
        <f>VLOOKUP(A211,'9-Kath'!$A$2:$F$30,3,FALSE)</f>
        <v>46100</v>
      </c>
      <c r="F211" s="10">
        <f>VLOOKUP(A211,'9-Kath'!$A$1:$H$43,7,FALSE)</f>
        <v>0</v>
      </c>
      <c r="G211" s="3" t="str">
        <f>VLOOKUP(A211,'9-Kath'!$A$2:$F$30,4,FALSE)</f>
        <v xml:space="preserve">Virtual Meeting Scheduled </v>
      </c>
      <c r="H211" s="3" t="str">
        <f>VLOOKUP(A211,'9-Kath'!$A$2:$F$30,5,FALSE)</f>
        <v>-</v>
      </c>
      <c r="I211" s="3" t="str">
        <f>VLOOKUP(A211,'9-Kath'!$A$2:$F$30,6,FALSE)</f>
        <v xml:space="preserve"> </v>
      </c>
      <c r="J211" s="3">
        <f>VLOOKUP(A211,'9-Kath'!$A$1:$H$43,8,FALSE)</f>
        <v>0</v>
      </c>
    </row>
    <row r="212" spans="1:10" x14ac:dyDescent="0.35">
      <c r="A212" s="4" t="s">
        <v>375</v>
      </c>
      <c r="B212" s="4" t="s">
        <v>376</v>
      </c>
      <c r="C212" t="s">
        <v>184</v>
      </c>
      <c r="D212" s="3">
        <f>_xlfn.XLOOKUP(C212,'Territory List'!$D$2:$D$352,'Territory List'!$G$2:$G$352)</f>
        <v>9</v>
      </c>
      <c r="E212" s="10">
        <f>VLOOKUP(A212,'9-Kath'!$A$2:$F$30,3,FALSE)</f>
        <v>46128</v>
      </c>
      <c r="F212" s="10">
        <f>VLOOKUP(A212,'9-Kath'!$A$1:$H$43,7,FALSE)</f>
        <v>46281</v>
      </c>
      <c r="G212" s="3" t="str">
        <f>VLOOKUP(A212,'9-Kath'!$A$2:$F$30,4,FALSE)</f>
        <v>-</v>
      </c>
      <c r="H212" s="3">
        <f>VLOOKUP(A212,'9-Kath'!$A$2:$F$30,5,FALSE)</f>
        <v>3</v>
      </c>
      <c r="I212" s="3" t="str">
        <f>VLOOKUP(A212,'9-Kath'!$A$2:$F$30,6,FALSE)</f>
        <v>-</v>
      </c>
      <c r="J212" s="3">
        <f>VLOOKUP(A212,'9-Kath'!$A$1:$H$43,8,FALSE)</f>
        <v>0</v>
      </c>
    </row>
    <row r="213" spans="1:10" x14ac:dyDescent="0.35">
      <c r="A213" s="4" t="s">
        <v>891</v>
      </c>
      <c r="B213" s="4" t="s">
        <v>575</v>
      </c>
      <c r="C213" t="s">
        <v>224</v>
      </c>
      <c r="D213" s="3">
        <f>_xlfn.XLOOKUP(C213,'Territory List'!$D$2:$D$352,'Territory List'!$G$2:$G$352)</f>
        <v>10</v>
      </c>
      <c r="E213" s="10">
        <f>VLOOKUP(A213,'10-Brian'!$A$2:$F$20,3,FALSE)</f>
        <v>46142</v>
      </c>
      <c r="F213" s="10">
        <f>VLOOKUP(A213,'10-Brian'!$A$1:$H$39,7,FALSE)</f>
        <v>0</v>
      </c>
      <c r="G213" s="3" t="str">
        <f>VLOOKUP(A213,'10-Brian'!$A$2:$F$20,4,FALSE)</f>
        <v>-</v>
      </c>
      <c r="H213" s="3" t="str">
        <f>VLOOKUP(A213,'10-Brian'!$A$2:$F$20,5,FALSE)</f>
        <v>-</v>
      </c>
      <c r="I213" s="3" t="str">
        <f>VLOOKUP(A213,'10-Brian'!$A$2:$F$20,6,FALSE)</f>
        <v>-</v>
      </c>
      <c r="J213" s="3">
        <f>VLOOKUP(A213,'10-Brian'!$A$1:$H$39,8,FALSE)</f>
        <v>0</v>
      </c>
    </row>
    <row r="214" spans="1:10" x14ac:dyDescent="0.35">
      <c r="A214" s="4" t="s">
        <v>863</v>
      </c>
      <c r="B214" s="4" t="s">
        <v>864</v>
      </c>
      <c r="C214" t="s">
        <v>222</v>
      </c>
      <c r="D214" s="3">
        <f>_xlfn.XLOOKUP(C214,'Territory List'!$D$2:$D$352,'Territory List'!$G$2:$G$352)</f>
        <v>10</v>
      </c>
      <c r="E214" s="10" t="str">
        <f>VLOOKUP(A214,'10-Brian'!$A$2:$F$20,3,FALSE)</f>
        <v>email out</v>
      </c>
      <c r="F214" s="10">
        <f>VLOOKUP(A214,'10-Brian'!$A$1:$H$39,7,FALSE)</f>
        <v>0</v>
      </c>
      <c r="G214" s="3" t="str">
        <f>VLOOKUP(A214,'10-Brian'!$A$2:$F$20,4,FALSE)</f>
        <v>-</v>
      </c>
      <c r="H214" s="3" t="str">
        <f>VLOOKUP(A214,'10-Brian'!$A$2:$F$20,5,FALSE)</f>
        <v>-</v>
      </c>
      <c r="I214" s="3" t="str">
        <f>VLOOKUP(A214,'10-Brian'!$A$2:$F$20,6,FALSE)</f>
        <v>-</v>
      </c>
      <c r="J214" s="3">
        <f>VLOOKUP(A214,'10-Brian'!$A$1:$H$39,8,FALSE)</f>
        <v>0</v>
      </c>
    </row>
    <row r="215" spans="1:10" x14ac:dyDescent="0.35">
      <c r="A215" s="4" t="s">
        <v>796</v>
      </c>
      <c r="B215" s="4" t="s">
        <v>219</v>
      </c>
      <c r="C215" t="s">
        <v>219</v>
      </c>
      <c r="D215" s="3">
        <f>_xlfn.XLOOKUP(C215,'Territory List'!$D$2:$D$352,'Territory List'!$G$2:$G$352)</f>
        <v>10</v>
      </c>
      <c r="E215" s="10" t="str">
        <f>VLOOKUP(A215,'10-Brian'!$A$2:$F$20,3,FALSE)</f>
        <v>email out</v>
      </c>
      <c r="F215" s="10">
        <f>VLOOKUP(A215,'10-Brian'!$A$1:$H$39,7,FALSE)</f>
        <v>0</v>
      </c>
      <c r="G215" s="3" t="str">
        <f>VLOOKUP(A215,'10-Brian'!$A$2:$F$20,4,FALSE)</f>
        <v>-</v>
      </c>
      <c r="H215" s="3">
        <f>VLOOKUP(A215,'10-Brian'!$A$2:$F$20,5,FALSE)</f>
        <v>3</v>
      </c>
      <c r="I215" s="3" t="str">
        <f>VLOOKUP(A215,'10-Brian'!$A$2:$F$20,6,FALSE)</f>
        <v>-</v>
      </c>
      <c r="J215" s="3">
        <f>VLOOKUP(A215,'10-Brian'!$A$1:$H$39,8,FALSE)</f>
        <v>0</v>
      </c>
    </row>
    <row r="216" spans="1:10" x14ac:dyDescent="0.35">
      <c r="A216" s="4" t="s">
        <v>791</v>
      </c>
      <c r="B216" s="4" t="s">
        <v>790</v>
      </c>
      <c r="C216" t="s">
        <v>217</v>
      </c>
      <c r="D216" s="3">
        <f>_xlfn.XLOOKUP(C216,'Territory List'!$D$2:$D$352,'Territory List'!$G$2:$G$352)</f>
        <v>10</v>
      </c>
      <c r="E216" s="10" t="str">
        <f>VLOOKUP(A216,'10-Brian'!$A$2:$F$20,3,FALSE)</f>
        <v>-</v>
      </c>
      <c r="F216" s="10">
        <f>VLOOKUP(A216,'10-Brian'!$A$1:$H$39,7,FALSE)</f>
        <v>0</v>
      </c>
      <c r="G216" s="3" t="str">
        <f>VLOOKUP(A216,'10-Brian'!$A$2:$F$20,4,FALSE)</f>
        <v>December annual review only</v>
      </c>
      <c r="H216" s="3" t="str">
        <f>VLOOKUP(A216,'10-Brian'!$A$2:$F$20,5,FALSE)</f>
        <v>-</v>
      </c>
      <c r="I216" s="3" t="str">
        <f>VLOOKUP(A216,'10-Brian'!$A$2:$F$20,6,FALSE)</f>
        <v>-</v>
      </c>
      <c r="J216" s="3">
        <f>VLOOKUP(A216,'10-Brian'!$A$1:$H$39,8,FALSE)</f>
        <v>0</v>
      </c>
    </row>
    <row r="217" spans="1:10" x14ac:dyDescent="0.35">
      <c r="A217" s="4" t="s">
        <v>789</v>
      </c>
      <c r="B217" s="4" t="s">
        <v>790</v>
      </c>
      <c r="C217" t="s">
        <v>217</v>
      </c>
      <c r="D217" s="3">
        <f>_xlfn.XLOOKUP(C217,'Territory List'!$D$2:$D$352,'Territory List'!$G$2:$G$352)</f>
        <v>10</v>
      </c>
      <c r="E217" s="10">
        <f>VLOOKUP(A217,'10-Brian'!$A$2:$F$20,3,FALSE)</f>
        <v>0</v>
      </c>
      <c r="F217" s="10">
        <f>VLOOKUP(A217,'10-Brian'!$A$1:$H$39,7,FALSE)</f>
        <v>0</v>
      </c>
      <c r="G217" s="3" t="str">
        <f>VLOOKUP(A217,'10-Brian'!$A$2:$F$20,4,FALSE)</f>
        <v>-</v>
      </c>
      <c r="H217" s="3" t="str">
        <f>VLOOKUP(A217,'10-Brian'!$A$2:$F$20,5,FALSE)</f>
        <v>-</v>
      </c>
      <c r="I217" s="3" t="str">
        <f>VLOOKUP(A217,'10-Brian'!$A$2:$F$20,6,FALSE)</f>
        <v>-</v>
      </c>
      <c r="J217" s="3">
        <f>VLOOKUP(A217,'10-Brian'!$A$1:$H$39,8,FALSE)</f>
        <v>0</v>
      </c>
    </row>
    <row r="218" spans="1:10" x14ac:dyDescent="0.35">
      <c r="A218" s="4" t="s">
        <v>785</v>
      </c>
      <c r="B218" s="4" t="s">
        <v>786</v>
      </c>
      <c r="C218" t="s">
        <v>216</v>
      </c>
      <c r="D218" s="3">
        <f>_xlfn.XLOOKUP(C218,'Territory List'!$D$2:$D$352,'Territory List'!$G$2:$G$352)</f>
        <v>10</v>
      </c>
      <c r="E218" s="10">
        <f>VLOOKUP(A218,'10-Brian'!$A$2:$F$20,3,FALSE)</f>
        <v>46133</v>
      </c>
      <c r="F218" s="10">
        <f>VLOOKUP(A218,'10-Brian'!$A$1:$H$39,7,FALSE)</f>
        <v>0</v>
      </c>
      <c r="G218" s="3" t="str">
        <f>VLOOKUP(A218,'10-Brian'!$A$2:$F$20,4,FALSE)</f>
        <v>-</v>
      </c>
      <c r="H218" s="3" t="str">
        <f>VLOOKUP(A218,'10-Brian'!$A$2:$F$20,5,FALSE)</f>
        <v>-</v>
      </c>
      <c r="I218" s="3" t="str">
        <f>VLOOKUP(A218,'10-Brian'!$A$2:$F$20,6,FALSE)</f>
        <v>-</v>
      </c>
      <c r="J218" s="3">
        <f>VLOOKUP(A218,'10-Brian'!$A$1:$H$39,8,FALSE)</f>
        <v>0</v>
      </c>
    </row>
    <row r="219" spans="1:10" x14ac:dyDescent="0.35">
      <c r="A219" s="4" t="s">
        <v>781</v>
      </c>
      <c r="B219" s="4" t="s">
        <v>782</v>
      </c>
      <c r="C219" t="s">
        <v>215</v>
      </c>
      <c r="D219" s="3">
        <f>_xlfn.XLOOKUP(C219,'Territory List'!$D$2:$D$352,'Territory List'!$G$2:$G$352)</f>
        <v>10</v>
      </c>
      <c r="E219" s="10">
        <f>VLOOKUP(A219,'10-Brian'!$A$2:$F$20,3,FALSE)</f>
        <v>46133</v>
      </c>
      <c r="F219" s="10">
        <f>VLOOKUP(A219,'10-Brian'!$A$1:$H$39,7,FALSE)</f>
        <v>46289</v>
      </c>
      <c r="G219" s="3" t="str">
        <f>VLOOKUP(A219,'10-Brian'!$A$2:$F$20,4,FALSE)</f>
        <v>-</v>
      </c>
      <c r="H219" s="3">
        <f>VLOOKUP(A219,'10-Brian'!$A$2:$F$20,5,FALSE)</f>
        <v>3</v>
      </c>
      <c r="I219" s="3" t="str">
        <f>VLOOKUP(A219,'10-Brian'!$A$2:$F$20,6,FALSE)</f>
        <v>-</v>
      </c>
      <c r="J219" s="3">
        <f>VLOOKUP(A219,'10-Brian'!$A$1:$H$39,8,FALSE)</f>
        <v>0</v>
      </c>
    </row>
    <row r="220" spans="1:10" x14ac:dyDescent="0.35">
      <c r="A220" s="4" t="s">
        <v>715</v>
      </c>
      <c r="B220" s="4" t="s">
        <v>716</v>
      </c>
      <c r="C220" t="s">
        <v>213</v>
      </c>
      <c r="D220" s="3">
        <f>_xlfn.XLOOKUP(C220,'Territory List'!$D$2:$D$352,'Territory List'!$G$2:$G$352)</f>
        <v>10</v>
      </c>
      <c r="E220" s="10">
        <f>VLOOKUP(A220,'10-Brian'!$A$2:$F$20,3,FALSE)</f>
        <v>46125</v>
      </c>
      <c r="F220" s="10">
        <f>VLOOKUP(A220,'10-Brian'!$A$1:$H$39,7,FALSE)</f>
        <v>0</v>
      </c>
      <c r="G220" s="3" t="str">
        <f>VLOOKUP(A220,'10-Brian'!$A$2:$F$20,4,FALSE)</f>
        <v>-</v>
      </c>
      <c r="H220" s="3" t="str">
        <f>VLOOKUP(A220,'10-Brian'!$A$2:$F$20,5,FALSE)</f>
        <v>-</v>
      </c>
      <c r="I220" s="3" t="str">
        <f>VLOOKUP(A220,'10-Brian'!$A$2:$F$20,6,FALSE)</f>
        <v>-</v>
      </c>
      <c r="J220" s="3">
        <f>VLOOKUP(A220,'10-Brian'!$A$1:$H$39,8,FALSE)</f>
        <v>0</v>
      </c>
    </row>
    <row r="221" spans="1:10" x14ac:dyDescent="0.35">
      <c r="A221" s="4" t="s">
        <v>675</v>
      </c>
      <c r="B221" s="4" t="s">
        <v>676</v>
      </c>
      <c r="C221" t="s">
        <v>208</v>
      </c>
      <c r="D221" s="3">
        <f>_xlfn.XLOOKUP(C221,'Territory List'!$D$2:$D$352,'Territory List'!$G$2:$G$352)</f>
        <v>10</v>
      </c>
      <c r="E221" s="10" t="str">
        <f>VLOOKUP(A221,'10-Brian'!$A$2:$F$20,3,FALSE)</f>
        <v>email out</v>
      </c>
      <c r="F221" s="10">
        <f>VLOOKUP(A221,'10-Brian'!$A$1:$H$39,7,FALSE)</f>
        <v>0</v>
      </c>
      <c r="G221" s="3" t="str">
        <f>VLOOKUP(A221,'10-Brian'!$A$2:$F$20,4,FALSE)</f>
        <v>-</v>
      </c>
      <c r="H221" s="3" t="str">
        <f>VLOOKUP(A221,'10-Brian'!$A$2:$F$20,5,FALSE)</f>
        <v>-</v>
      </c>
      <c r="I221" s="3" t="str">
        <f>VLOOKUP(A221,'10-Brian'!$A$2:$F$20,6,FALSE)</f>
        <v>-</v>
      </c>
      <c r="J221" s="3">
        <f>VLOOKUP(A221,'10-Brian'!$A$1:$H$39,8,FALSE)</f>
        <v>0</v>
      </c>
    </row>
    <row r="222" spans="1:10" x14ac:dyDescent="0.35">
      <c r="A222" s="4" t="s">
        <v>647</v>
      </c>
      <c r="B222" s="4" t="s">
        <v>648</v>
      </c>
      <c r="C222" t="s">
        <v>205</v>
      </c>
      <c r="D222" s="3">
        <f>_xlfn.XLOOKUP(C222,'Territory List'!$D$2:$D$352,'Territory List'!$G$2:$G$352)</f>
        <v>10</v>
      </c>
      <c r="E222" s="10" t="str">
        <f>VLOOKUP(A222,'10-Brian'!$A$2:$F$20,3,FALSE)</f>
        <v xml:space="preserve">Cancelled </v>
      </c>
      <c r="F222" s="10">
        <f>VLOOKUP(A222,'10-Brian'!$A$1:$H$39,7,FALSE)</f>
        <v>46286</v>
      </c>
      <c r="G222" s="3" t="str">
        <f>VLOOKUP(A222,'10-Brian'!$A$2:$F$20,4,FALSE)</f>
        <v>-</v>
      </c>
      <c r="H222" s="3">
        <f>VLOOKUP(A222,'10-Brian'!$A$2:$F$20,5,FALSE)</f>
        <v>3</v>
      </c>
      <c r="I222" s="3" t="str">
        <f>VLOOKUP(A222,'10-Brian'!$A$2:$F$20,6,FALSE)</f>
        <v>-</v>
      </c>
      <c r="J222" s="3">
        <f>VLOOKUP(A222,'10-Brian'!$A$1:$H$39,8,FALSE)</f>
        <v>0</v>
      </c>
    </row>
    <row r="223" spans="1:10" x14ac:dyDescent="0.35">
      <c r="A223" s="4" t="s">
        <v>643</v>
      </c>
      <c r="B223" s="4" t="s">
        <v>644</v>
      </c>
      <c r="C223" t="s">
        <v>943</v>
      </c>
      <c r="D223" s="3">
        <f>_xlfn.XLOOKUP(C223,'Territory List'!$D$2:$D$352,'Territory List'!$G$2:$G$352)</f>
        <v>10</v>
      </c>
      <c r="E223" s="10">
        <f>VLOOKUP(A223,'10-Brian'!$A$2:$F$20,3,FALSE)</f>
        <v>46125</v>
      </c>
      <c r="F223" s="10">
        <f>VLOOKUP(A223,'10-Brian'!$A$1:$H$39,7,FALSE)</f>
        <v>46287</v>
      </c>
      <c r="G223" s="3" t="str">
        <f>VLOOKUP(A223,'10-Brian'!$A$2:$F$20,4,FALSE)</f>
        <v>-</v>
      </c>
      <c r="H223" s="3" t="str">
        <f>VLOOKUP(A223,'10-Brian'!$A$2:$F$20,5,FALSE)</f>
        <v>-</v>
      </c>
      <c r="I223" s="3" t="str">
        <f>VLOOKUP(A223,'10-Brian'!$A$2:$F$20,6,FALSE)</f>
        <v>-</v>
      </c>
      <c r="J223" s="3">
        <f>VLOOKUP(A223,'10-Brian'!$A$1:$H$39,8,FALSE)</f>
        <v>0</v>
      </c>
    </row>
    <row r="224" spans="1:10" x14ac:dyDescent="0.35">
      <c r="A224" s="4" t="s">
        <v>642</v>
      </c>
      <c r="B224" s="4" t="s">
        <v>641</v>
      </c>
      <c r="C224" t="s">
        <v>204</v>
      </c>
      <c r="D224" s="3">
        <f>_xlfn.XLOOKUP(C224,'Territory List'!$D$2:$D$352,'Territory List'!$G$2:$G$352)</f>
        <v>10</v>
      </c>
      <c r="E224" s="10">
        <f>VLOOKUP(A224,'10-Brian'!$A$2:$F$20,3,FALSE)</f>
        <v>46161</v>
      </c>
      <c r="F224" s="10">
        <f>VLOOKUP(A224,'10-Brian'!$A$1:$H$39,7,FALSE)</f>
        <v>0</v>
      </c>
      <c r="G224" s="3" t="str">
        <f>VLOOKUP(A224,'10-Brian'!$A$2:$F$20,4,FALSE)</f>
        <v>New Account Update Brian Aug 23</v>
      </c>
      <c r="H224" s="3" t="str">
        <f>VLOOKUP(A224,'10-Brian'!$A$2:$F$20,5,FALSE)</f>
        <v>-</v>
      </c>
      <c r="I224" s="3" t="str">
        <f>VLOOKUP(A224,'10-Brian'!$A$2:$F$20,6,FALSE)</f>
        <v>-</v>
      </c>
      <c r="J224" s="3">
        <f>VLOOKUP(A224,'10-Brian'!$A$1:$H$39,8,FALSE)</f>
        <v>0</v>
      </c>
    </row>
    <row r="225" spans="1:10" x14ac:dyDescent="0.35">
      <c r="A225" s="4" t="s">
        <v>640</v>
      </c>
      <c r="B225" s="4" t="s">
        <v>641</v>
      </c>
      <c r="C225" t="s">
        <v>204</v>
      </c>
      <c r="D225" s="3">
        <f>_xlfn.XLOOKUP(C225,'Territory List'!$D$2:$D$352,'Territory List'!$G$2:$G$352)</f>
        <v>10</v>
      </c>
      <c r="E225" s="10" t="e">
        <f>VLOOKUP(A225,'10-Brian'!$A$2:$F$20,3,FALSE)</f>
        <v>#N/A</v>
      </c>
      <c r="F225" s="10" t="e">
        <f>VLOOKUP(A225,'10-Brian'!$A$1:$H$39,7,FALSE)</f>
        <v>#N/A</v>
      </c>
      <c r="G225" s="3" t="e">
        <f>VLOOKUP(A225,'10-Brian'!$A$2:$F$20,4,FALSE)</f>
        <v>#N/A</v>
      </c>
      <c r="H225" s="3" t="e">
        <f>VLOOKUP(A225,'10-Brian'!$A$2:$F$20,5,FALSE)</f>
        <v>#N/A</v>
      </c>
      <c r="I225" s="3" t="e">
        <f>VLOOKUP(A225,'10-Brian'!$A$2:$F$20,6,FALSE)</f>
        <v>#N/A</v>
      </c>
      <c r="J225" s="3">
        <f>_xlfn.IFNA(VLOOKUP(A225,'13-Michelle'!$A$1:$H$35,8,FALSE),0)</f>
        <v>0</v>
      </c>
    </row>
    <row r="226" spans="1:10" x14ac:dyDescent="0.35">
      <c r="A226" s="4" t="s">
        <v>606</v>
      </c>
      <c r="B226" s="4" t="s">
        <v>607</v>
      </c>
      <c r="C226" t="s">
        <v>200</v>
      </c>
      <c r="D226" s="3">
        <f>_xlfn.XLOOKUP(C226,'Territory List'!$D$2:$D$352,'Territory List'!$G$2:$G$352)</f>
        <v>10</v>
      </c>
      <c r="E226" s="10">
        <f>VLOOKUP(A226,'10-Brian'!$A$2:$F$20,3,FALSE)</f>
        <v>46126</v>
      </c>
      <c r="F226" s="10">
        <f>VLOOKUP(A226,'10-Brian'!$A$1:$H$39,7,FALSE)</f>
        <v>0</v>
      </c>
      <c r="G226" s="3" t="str">
        <f>VLOOKUP(A226,'10-Brian'!$A$2:$F$20,4,FALSE)</f>
        <v>Same treas as Hamilton Wenham</v>
      </c>
      <c r="H226" s="3" t="str">
        <f>VLOOKUP(A226,'10-Brian'!$A$2:$F$20,5,FALSE)</f>
        <v>-</v>
      </c>
      <c r="I226" s="3" t="str">
        <f>VLOOKUP(A226,'10-Brian'!$A$2:$F$20,6,FALSE)</f>
        <v>-</v>
      </c>
      <c r="J226" s="3">
        <f>VLOOKUP(A226,'10-Brian'!$A$1:$H$39,8,FALSE)</f>
        <v>0</v>
      </c>
    </row>
    <row r="227" spans="1:10" x14ac:dyDescent="0.35">
      <c r="A227" s="4" t="s">
        <v>574</v>
      </c>
      <c r="B227" s="4" t="s">
        <v>575</v>
      </c>
      <c r="C227" t="s">
        <v>224</v>
      </c>
      <c r="D227" s="3">
        <f>_xlfn.XLOOKUP(C227,'Territory List'!$D$2:$D$352,'Territory List'!$G$2:$G$352)</f>
        <v>10</v>
      </c>
      <c r="E227" s="10">
        <f>VLOOKUP(A227,'10-Brian'!$A$2:$F$20,3,FALSE)</f>
        <v>46126</v>
      </c>
      <c r="F227" s="10">
        <f>VLOOKUP(A227,'10-Brian'!$A$1:$H$39,7,FALSE)</f>
        <v>0</v>
      </c>
      <c r="G227" s="3" t="str">
        <f>VLOOKUP(A227,'10-Brian'!$A$2:$F$20,4,FALSE)</f>
        <v xml:space="preserve">Same Treasurer as Ipswich </v>
      </c>
      <c r="H227" s="3" t="str">
        <f>VLOOKUP(A227,'10-Brian'!$A$2:$F$20,5,FALSE)</f>
        <v>-</v>
      </c>
      <c r="I227" s="3" t="str">
        <f>VLOOKUP(A227,'10-Brian'!$A$2:$F$20,6,FALSE)</f>
        <v>-</v>
      </c>
      <c r="J227" s="3">
        <f>VLOOKUP(A227,'10-Brian'!$A$1:$H$39,8,FALSE)</f>
        <v>0</v>
      </c>
    </row>
    <row r="228" spans="1:10" x14ac:dyDescent="0.35">
      <c r="A228" s="4" t="s">
        <v>572</v>
      </c>
      <c r="B228" s="4" t="s">
        <v>573</v>
      </c>
      <c r="C228" t="s">
        <v>198</v>
      </c>
      <c r="D228" s="3">
        <f>_xlfn.XLOOKUP(C228,'Territory List'!$D$2:$D$352,'Territory List'!$G$2:$G$352)</f>
        <v>10</v>
      </c>
      <c r="E228" s="10">
        <f>VLOOKUP(A228,'10-Brian'!$A$2:$F$20,3,FALSE)</f>
        <v>46126</v>
      </c>
      <c r="F228" s="10">
        <f>VLOOKUP(A228,'10-Brian'!$A$1:$H$39,7,FALSE)</f>
        <v>46283</v>
      </c>
      <c r="G228" s="3" t="str">
        <f>VLOOKUP(A228,'10-Brian'!$A$2:$F$20,4,FALSE)</f>
        <v>-</v>
      </c>
      <c r="H228" s="3" t="str">
        <f>VLOOKUP(A228,'10-Brian'!$A$2:$F$20,5,FALSE)</f>
        <v>-</v>
      </c>
      <c r="I228" s="3" t="str">
        <f>VLOOKUP(A228,'10-Brian'!$A$2:$F$20,6,FALSE)</f>
        <v>-</v>
      </c>
      <c r="J228" s="3">
        <f>VLOOKUP(A228,'10-Brian'!$A$1:$H$39,8,FALSE)</f>
        <v>0</v>
      </c>
    </row>
    <row r="229" spans="1:10" x14ac:dyDescent="0.35">
      <c r="A229" s="4" t="s">
        <v>553</v>
      </c>
      <c r="B229" s="4" t="s">
        <v>554</v>
      </c>
      <c r="C229" t="s">
        <v>196</v>
      </c>
      <c r="D229" s="3">
        <f>_xlfn.XLOOKUP(C229,'Territory List'!$D$2:$D$352,'Territory List'!$G$2:$G$352)</f>
        <v>10</v>
      </c>
      <c r="E229" s="10">
        <f>VLOOKUP(A229,'10-Brian'!$A$2:$F$20,3,FALSE)</f>
        <v>46126</v>
      </c>
      <c r="F229" s="10" t="str">
        <f>VLOOKUP(A229,'10-Brian'!$A$1:$H$39,7,FALSE)</f>
        <v>9/22/26?</v>
      </c>
      <c r="G229" s="3" t="str">
        <f>VLOOKUP(A229,'10-Brian'!$A$2:$F$20,4,FALSE)</f>
        <v>Talk to him about PE, he said yes</v>
      </c>
      <c r="H229" s="3">
        <f>VLOOKUP(A229,'10-Brian'!$A$2:$F$20,5,FALSE)</f>
        <v>3</v>
      </c>
      <c r="I229" s="3" t="str">
        <f>VLOOKUP(A229,'10-Brian'!$A$2:$F$20,6,FALSE)</f>
        <v>-</v>
      </c>
      <c r="J229" s="3">
        <f>VLOOKUP(A229,'10-Brian'!$A$1:$H$39,8,FALSE)</f>
        <v>0</v>
      </c>
    </row>
    <row r="230" spans="1:10" x14ac:dyDescent="0.35">
      <c r="A230" s="4" t="s">
        <v>515</v>
      </c>
      <c r="B230" s="4" t="s">
        <v>516</v>
      </c>
      <c r="C230" t="s">
        <v>194</v>
      </c>
      <c r="D230" s="3">
        <f>_xlfn.XLOOKUP(C230,'Territory List'!$D$2:$D$352,'Territory List'!$G$2:$G$352)</f>
        <v>10</v>
      </c>
      <c r="E230" s="10">
        <f>VLOOKUP(A230,'10-Brian'!$A$2:$F$20,3,FALSE)</f>
        <v>46126</v>
      </c>
      <c r="F230" s="10">
        <f>VLOOKUP(A230,'10-Brian'!$A$1:$H$39,7,FALSE)</f>
        <v>46287</v>
      </c>
      <c r="G230" s="3" t="str">
        <f>VLOOKUP(A230,'10-Brian'!$A$2:$F$20,4,FALSE)</f>
        <v>Trust Funds at Unibank</v>
      </c>
      <c r="H230" s="3" t="str">
        <f>VLOOKUP(A230,'10-Brian'!$A$2:$F$20,5,FALSE)</f>
        <v>-</v>
      </c>
      <c r="I230" s="3" t="str">
        <f>VLOOKUP(A230,'10-Brian'!$A$2:$F$20,6,FALSE)</f>
        <v>-</v>
      </c>
      <c r="J230" s="3">
        <f>VLOOKUP(A230,'10-Brian'!$A$1:$H$39,8,FALSE)</f>
        <v>0</v>
      </c>
    </row>
    <row r="231" spans="1:10" x14ac:dyDescent="0.35">
      <c r="A231" s="4" t="s">
        <v>483</v>
      </c>
      <c r="B231" s="4" t="s">
        <v>484</v>
      </c>
      <c r="C231" t="s">
        <v>191</v>
      </c>
      <c r="D231" s="3">
        <f>_xlfn.XLOOKUP(C231,'Territory List'!$D$2:$D$352,'Territory List'!$G$2:$G$352)</f>
        <v>10</v>
      </c>
      <c r="E231" s="10">
        <f>VLOOKUP(A231,'10-Brian'!$A$2:$F$20,3,FALSE)</f>
        <v>46125</v>
      </c>
      <c r="F231" s="10" t="str">
        <f>VLOOKUP(A231,'10-Brian'!$A$1:$H$39,7,FALSE)</f>
        <v>9/21/26?</v>
      </c>
      <c r="G231" s="3" t="str">
        <f>VLOOKUP(A231,'10-Brian'!$A$2:$F$20,4,FALSE)</f>
        <v xml:space="preserve">dropped off not available </v>
      </c>
      <c r="H231" s="3" t="str">
        <f>VLOOKUP(A231,'10-Brian'!$A$2:$F$20,5,FALSE)</f>
        <v>-</v>
      </c>
      <c r="I231" s="3" t="str">
        <f>VLOOKUP(A231,'10-Brian'!$A$2:$F$20,6,FALSE)</f>
        <v>-</v>
      </c>
      <c r="J231" s="3">
        <f>VLOOKUP(A231,'10-Brian'!$A$1:$H$39,8,FALSE)</f>
        <v>0</v>
      </c>
    </row>
    <row r="232" spans="1:10" x14ac:dyDescent="0.35">
      <c r="A232" s="4" t="s">
        <v>924</v>
      </c>
      <c r="B232" s="4" t="s">
        <v>925</v>
      </c>
      <c r="C232" t="s">
        <v>183</v>
      </c>
      <c r="D232" s="3">
        <f>_xlfn.XLOOKUP(C232,'Territory List'!$D$2:$D$352,'Territory List'!$G$2:$G$352)</f>
        <v>11</v>
      </c>
      <c r="E232" s="10">
        <f>VLOOKUP(A232,'11-B,M,K'!$A$2:$F$11,3,FALSE)</f>
        <v>46142</v>
      </c>
      <c r="F232" s="10">
        <f>VLOOKUP(A232,'11-B,M,K'!$A$1:$H$26,7,FALSE)</f>
        <v>0</v>
      </c>
      <c r="G232" s="3" t="str">
        <f>VLOOKUP(A232,'11-B,M,K'!$A$2:$F$11,4,FALSE)</f>
        <v>-</v>
      </c>
      <c r="H232" s="3" t="str">
        <f>VLOOKUP(A232,'11-B,M,K'!$A$2:$F$11,5,FALSE)</f>
        <v>-</v>
      </c>
      <c r="I232" s="3" t="str">
        <f>VLOOKUP(A232,'11-B,M,K'!$A$2:$F$11,6,FALSE)</f>
        <v>-</v>
      </c>
      <c r="J232" s="3">
        <f>VLOOKUP(A232,'11-B,M,K'!$A$1:$H$26,8,FALSE)</f>
        <v>0</v>
      </c>
    </row>
    <row r="233" spans="1:10" x14ac:dyDescent="0.35">
      <c r="A233" s="4" t="s">
        <v>839</v>
      </c>
      <c r="B233" s="4" t="s">
        <v>840</v>
      </c>
      <c r="C233" t="s">
        <v>171</v>
      </c>
      <c r="D233" s="3">
        <f>_xlfn.XLOOKUP(C233,'Territory List'!$D$2:$D$352,'Territory List'!$G$2:$G$352)</f>
        <v>11</v>
      </c>
      <c r="E233" s="10">
        <f>VLOOKUP(A233,'11-B,M,K'!$A$2:$F$11,3,FALSE)</f>
        <v>46175</v>
      </c>
      <c r="F233" s="10">
        <f>VLOOKUP(A233,'11-B,M,K'!$A$1:$H$26,7,FALSE)</f>
        <v>0</v>
      </c>
      <c r="G233" s="3" t="str">
        <f>VLOOKUP(A233,'11-B,M,K'!$A$2:$F$11,4,FALSE)</f>
        <v>-</v>
      </c>
      <c r="H233" s="3" t="str">
        <f>VLOOKUP(A233,'11-B,M,K'!$A$2:$F$11,5,FALSE)</f>
        <v>-</v>
      </c>
      <c r="I233" s="3" t="str">
        <f>VLOOKUP(A233,'11-B,M,K'!$A$2:$F$11,6,FALSE)</f>
        <v>-</v>
      </c>
      <c r="J233" s="3">
        <f>VLOOKUP(A233,'11-B,M,K'!$A$1:$H$26,8,FALSE)</f>
        <v>0</v>
      </c>
    </row>
    <row r="234" spans="1:10" x14ac:dyDescent="0.35">
      <c r="A234" s="4" t="s">
        <v>776</v>
      </c>
      <c r="B234" s="4" t="s">
        <v>777</v>
      </c>
      <c r="C234" t="s">
        <v>168</v>
      </c>
      <c r="D234" s="3">
        <f>_xlfn.XLOOKUP(C234,'Territory List'!$D$2:$D$352,'Territory List'!$G$2:$G$352)</f>
        <v>11</v>
      </c>
      <c r="E234" s="10" t="str">
        <f>VLOOKUP(A234,'11-B,M,K'!$A$2:$F$11,3,FALSE)</f>
        <v>-</v>
      </c>
      <c r="F234" s="10">
        <f>VLOOKUP(A234,'11-B,M,K'!$A$1:$H$26,7,FALSE)</f>
        <v>0</v>
      </c>
      <c r="G234" s="3" t="str">
        <f>VLOOKUP(A234,'11-B,M,K'!$A$2:$F$11,4,FALSE)</f>
        <v>Sent performance report</v>
      </c>
      <c r="H234" s="3">
        <f>VLOOKUP(A234,'11-B,M,K'!$A$2:$F$11,5,FALSE)</f>
        <v>5</v>
      </c>
      <c r="I234" s="3" t="str">
        <f>VLOOKUP(A234,'11-B,M,K'!$A$2:$F$11,6,FALSE)</f>
        <v>-</v>
      </c>
      <c r="J234" s="3">
        <f>VLOOKUP(A234,'11-B,M,K'!$A$1:$H$26,8,FALSE)</f>
        <v>0</v>
      </c>
    </row>
    <row r="235" spans="1:10" x14ac:dyDescent="0.35">
      <c r="A235" s="4" t="s">
        <v>768</v>
      </c>
      <c r="B235" s="4" t="s">
        <v>767</v>
      </c>
      <c r="C235" t="s">
        <v>166</v>
      </c>
      <c r="D235" s="3">
        <f>_xlfn.XLOOKUP(C235,'Territory List'!$D$2:$D$352,'Territory List'!$G$2:$G$352)</f>
        <v>11</v>
      </c>
      <c r="E235" s="10" t="str">
        <f>VLOOKUP(A235,'11-B,M,K'!$A$2:$F$11,3,FALSE)</f>
        <v>-</v>
      </c>
      <c r="F235" s="10">
        <v>46078</v>
      </c>
      <c r="G235" s="3" t="str">
        <f>VLOOKUP(A235,'11-B,M,K'!$A$2:$F$11,4,FALSE)</f>
        <v>-</v>
      </c>
      <c r="H235" s="3" t="str">
        <f>VLOOKUP(A235,'11-B,M,K'!$A$2:$F$11,5,FALSE)</f>
        <v>-</v>
      </c>
      <c r="I235" s="3" t="str">
        <f>VLOOKUP(A235,'11-B,M,K'!$A$2:$F$11,6,FALSE)</f>
        <v>-</v>
      </c>
      <c r="J235" s="3">
        <f>VLOOKUP(A235,'11-B,M,K'!$A$1:$H$26,8,FALSE)</f>
        <v>0</v>
      </c>
    </row>
    <row r="236" spans="1:10" x14ac:dyDescent="0.35">
      <c r="A236" s="4" t="s">
        <v>766</v>
      </c>
      <c r="B236" s="4" t="s">
        <v>767</v>
      </c>
      <c r="C236" t="s">
        <v>166</v>
      </c>
      <c r="D236" s="3">
        <f>_xlfn.XLOOKUP(C236,'Territory List'!$D$2:$D$352,'Territory List'!$G$2:$G$352)</f>
        <v>11</v>
      </c>
      <c r="E236" s="10" t="str">
        <f>VLOOKUP(A236,'11-B,M,K'!$A$2:$F$11,3,FALSE)</f>
        <v>-</v>
      </c>
      <c r="F236" s="10">
        <v>46079</v>
      </c>
      <c r="G236" s="3" t="str">
        <f>VLOOKUP(A236,'11-B,M,K'!$A$2:$F$11,4,FALSE)</f>
        <v>-</v>
      </c>
      <c r="H236" s="3" t="str">
        <f>VLOOKUP(A236,'11-B,M,K'!$A$2:$F$11,5,FALSE)</f>
        <v>-</v>
      </c>
      <c r="I236" s="3" t="str">
        <f>VLOOKUP(A236,'11-B,M,K'!$A$2:$F$11,6,FALSE)</f>
        <v>Kathleen</v>
      </c>
      <c r="J236" s="3">
        <f>VLOOKUP(A236,'11-B,M,K'!$A$1:$H$26,8,FALSE)</f>
        <v>0</v>
      </c>
    </row>
    <row r="237" spans="1:10" x14ac:dyDescent="0.35">
      <c r="A237" s="4" t="s">
        <v>664</v>
      </c>
      <c r="B237" s="4" t="s">
        <v>665</v>
      </c>
      <c r="C237" t="s">
        <v>160</v>
      </c>
      <c r="D237" s="3">
        <f>_xlfn.XLOOKUP(C237,'Territory List'!$D$2:$D$352,'Territory List'!$G$2:$G$352)</f>
        <v>11</v>
      </c>
      <c r="E237" s="10">
        <f>VLOOKUP(A237,'11-B,M,K'!$A$2:$F$11,3,FALSE)</f>
        <v>46133</v>
      </c>
      <c r="F237" s="10">
        <f>VLOOKUP(A237,'11-B,M,K'!$A$1:$H$26,7,FALSE)</f>
        <v>0</v>
      </c>
      <c r="G237" s="3" t="str">
        <f>VLOOKUP(A237,'11-B,M,K'!$A$2:$F$11,4,FALSE)</f>
        <v>-</v>
      </c>
      <c r="H237" s="3">
        <f>VLOOKUP(A237,'11-B,M,K'!$A$2:$F$11,5,FALSE)</f>
        <v>3</v>
      </c>
      <c r="I237" s="3" t="str">
        <f>VLOOKUP(A237,'11-B,M,K'!$A$2:$F$11,6,FALSE)</f>
        <v>-</v>
      </c>
      <c r="J237" s="3">
        <f>VLOOKUP(A237,'11-B,M,K'!$A$1:$H$26,8,FALSE)</f>
        <v>0</v>
      </c>
    </row>
    <row r="238" spans="1:10" x14ac:dyDescent="0.35">
      <c r="A238" s="4" t="s">
        <v>517</v>
      </c>
      <c r="B238" s="4" t="s">
        <v>518</v>
      </c>
      <c r="C238" t="s">
        <v>152</v>
      </c>
      <c r="D238" s="3">
        <f>_xlfn.XLOOKUP(C238,'Territory List'!$D$2:$D$352,'Territory List'!$G$2:$G$352)</f>
        <v>11</v>
      </c>
      <c r="E238" s="10">
        <f>VLOOKUP(A238,'11-B,M,K'!$A$2:$F$11,3,FALSE)</f>
        <v>46175</v>
      </c>
      <c r="F238" s="10">
        <f>VLOOKUP(A238,'11-B,M,K'!$A$1:$H$26,7,FALSE)</f>
        <v>0</v>
      </c>
      <c r="G238" s="3" t="str">
        <f>VLOOKUP(A238,'11-B,M,K'!$A$2:$F$11,4,FALSE)</f>
        <v>-</v>
      </c>
      <c r="H238" s="3">
        <f>VLOOKUP(A238,'11-B,M,K'!$A$2:$F$11,5,FALSE)</f>
        <v>3</v>
      </c>
      <c r="I238" s="3" t="str">
        <f>VLOOKUP(A238,'11-B,M,K'!$A$2:$F$11,6,FALSE)</f>
        <v>-</v>
      </c>
      <c r="J238" s="3">
        <f>VLOOKUP(A238,'11-B,M,K'!$A$1:$H$26,8,FALSE)</f>
        <v>0</v>
      </c>
    </row>
    <row r="239" spans="1:10" x14ac:dyDescent="0.35">
      <c r="A239" s="4" t="s">
        <v>456</v>
      </c>
      <c r="B239" s="4" t="s">
        <v>457</v>
      </c>
      <c r="C239" t="s">
        <v>148</v>
      </c>
      <c r="D239" s="3">
        <f>_xlfn.XLOOKUP(C239,'Territory List'!$D$2:$D$352,'Territory List'!$G$2:$G$352)</f>
        <v>11</v>
      </c>
      <c r="E239" s="10">
        <f>VLOOKUP(A239,'11-B,M,K'!$A$2:$F$11,3,FALSE)</f>
        <v>46099</v>
      </c>
      <c r="F239" s="10">
        <f>VLOOKUP(A239,'11-B,M,K'!$A$1:$H$26,7,FALSE)</f>
        <v>0</v>
      </c>
      <c r="G239" s="3" t="str">
        <f>VLOOKUP(A239,'11-B,M,K'!$A$2:$F$11,4,FALSE)</f>
        <v>-</v>
      </c>
      <c r="H239" s="3">
        <f>VLOOKUP(A239,'11-B,M,K'!$A$2:$F$11,5,FALSE)</f>
        <v>2</v>
      </c>
      <c r="I239" s="3" t="str">
        <f>VLOOKUP(A239,'11-B,M,K'!$A$2:$F$11,6,FALSE)</f>
        <v>-</v>
      </c>
      <c r="J239" s="3">
        <f>VLOOKUP(A239,'11-B,M,K'!$A$1:$H$26,8,FALSE)</f>
        <v>0</v>
      </c>
    </row>
    <row r="240" spans="1:10" x14ac:dyDescent="0.35">
      <c r="A240" s="4" t="s">
        <v>440</v>
      </c>
      <c r="B240" s="4" t="s">
        <v>441</v>
      </c>
      <c r="C240" t="s">
        <v>157</v>
      </c>
      <c r="D240" s="3">
        <f>_xlfn.XLOOKUP(C240,'Territory List'!$D$2:$D$352,'Territory List'!$G$2:$G$352)</f>
        <v>11</v>
      </c>
      <c r="E240" s="10" t="str">
        <f>VLOOKUP(A240,'11-B,M,K'!$A$2:$F$11,3,FALSE)</f>
        <v>-</v>
      </c>
      <c r="F240" s="10">
        <f>VLOOKUP(A240,'11-B,M,K'!$A$1:$H$26,7,FALSE)</f>
        <v>0</v>
      </c>
      <c r="G240" s="3" t="str">
        <f>VLOOKUP(A240,'11-B,M,K'!$A$2:$F$11,4,FALSE)</f>
        <v>-</v>
      </c>
      <c r="H240" s="3" t="str">
        <f>VLOOKUP(A240,'11-B,M,K'!$A$2:$F$11,5,FALSE)</f>
        <v>-</v>
      </c>
      <c r="I240" s="3" t="str">
        <f>VLOOKUP(A240,'11-B,M,K'!$A$2:$F$11,6,FALSE)</f>
        <v>-</v>
      </c>
      <c r="J240" s="3">
        <f>VLOOKUP(A240,'11-B,M,K'!$A$1:$H$26,8,FALSE)</f>
        <v>0</v>
      </c>
    </row>
    <row r="241" spans="1:10" x14ac:dyDescent="0.35">
      <c r="A241" s="4" t="s">
        <v>410</v>
      </c>
      <c r="B241" s="4" t="s">
        <v>411</v>
      </c>
      <c r="C241" t="s">
        <v>143</v>
      </c>
      <c r="D241" s="3">
        <f>_xlfn.XLOOKUP(C241,'Territory List'!$D$2:$D$352,'Territory List'!$G$2:$G$352)</f>
        <v>11</v>
      </c>
      <c r="E241" s="10">
        <f>VLOOKUP(A241,'11-B,M,K'!$A$2:$F$11,3,FALSE)</f>
        <v>46111</v>
      </c>
      <c r="F241" s="10">
        <f>VLOOKUP(A241,'11-B,M,K'!$A$1:$H$26,7,FALSE)</f>
        <v>0</v>
      </c>
      <c r="G241" s="3" t="str">
        <f>VLOOKUP(A241,'11-B,M,K'!$A$2:$F$11,4,FALSE)</f>
        <v>-</v>
      </c>
      <c r="H241" s="3">
        <f>VLOOKUP(A241,'11-B,M,K'!$A$2:$F$11,5,FALSE)</f>
        <v>3</v>
      </c>
      <c r="I241" s="3" t="str">
        <f>VLOOKUP(A241,'11-B,M,K'!$A$2:$F$11,6,FALSE)</f>
        <v>-</v>
      </c>
      <c r="J241" s="3">
        <f>VLOOKUP(A241,'11-B,M,K'!$A$1:$H$26,8,FALSE)</f>
        <v>0</v>
      </c>
    </row>
    <row r="242" spans="1:10" x14ac:dyDescent="0.35">
      <c r="A242" s="4" t="s">
        <v>918</v>
      </c>
      <c r="B242" s="4" t="s">
        <v>919</v>
      </c>
      <c r="C242" t="s">
        <v>180</v>
      </c>
      <c r="D242" s="3">
        <f>_xlfn.XLOOKUP(C242,'Territory List'!$D$2:$D$352,'Territory List'!$G$2:$G$352)</f>
        <v>12</v>
      </c>
      <c r="E242" s="10">
        <f>VLOOKUP(A242,'12-Kath'!$A$2:$F$24,3,FALSE)</f>
        <v>46134</v>
      </c>
      <c r="F242" s="10">
        <f>VLOOKUP(A242,'12-Kath'!A$1:H$34,7,FALSE)</f>
        <v>0</v>
      </c>
      <c r="G242" s="3" t="str">
        <f>VLOOKUP(A242,'12-Kath'!$A$2:$F$24,4,FALSE)</f>
        <v>-</v>
      </c>
      <c r="H242" s="3" t="str">
        <f>VLOOKUP(A242,'12-Kath'!$A$2:$F$24,5,FALSE)</f>
        <v>-</v>
      </c>
      <c r="I242" s="3" t="str">
        <f>VLOOKUP(A242,'12-Kath'!$A$2:$F$24,6,FALSE)</f>
        <v>-</v>
      </c>
      <c r="J242" s="3">
        <f>VLOOKUP(A242,'12-Kath'!$A$1:$H$38,8,FALSE)</f>
        <v>0</v>
      </c>
    </row>
    <row r="243" spans="1:10" x14ac:dyDescent="0.35">
      <c r="A243" s="4" t="s">
        <v>907</v>
      </c>
      <c r="B243" s="4" t="s">
        <v>908</v>
      </c>
      <c r="C243" t="s">
        <v>179</v>
      </c>
      <c r="D243" s="3">
        <f>_xlfn.XLOOKUP(C243,'Territory List'!$D$2:$D$352,'Territory List'!$G$2:$G$352)</f>
        <v>12</v>
      </c>
      <c r="E243" s="10">
        <f>VLOOKUP(A243,'12-Kath'!$A$2:$F$24,3,FALSE)</f>
        <v>46080</v>
      </c>
      <c r="F243" s="10">
        <v>46080</v>
      </c>
      <c r="G243" s="3" t="str">
        <f>VLOOKUP(A243,'12-Kath'!$A$2:$F$24,4,FALSE)</f>
        <v>New treasurer</v>
      </c>
      <c r="H243" s="3">
        <f>VLOOKUP(A243,'12-Kath'!$A$2:$F$24,5,FALSE)</f>
        <v>4</v>
      </c>
      <c r="I243" s="3" t="str">
        <f>VLOOKUP(A243,'12-Kath'!$A$2:$F$24,6,FALSE)</f>
        <v>-</v>
      </c>
      <c r="J243" s="3">
        <f>VLOOKUP(A243,'12-Kath'!$A$1:$H$38,8,FALSE)</f>
        <v>0</v>
      </c>
    </row>
    <row r="244" spans="1:10" x14ac:dyDescent="0.35">
      <c r="A244" s="4" t="s">
        <v>903</v>
      </c>
      <c r="B244" s="4" t="s">
        <v>904</v>
      </c>
      <c r="C244" t="s">
        <v>178</v>
      </c>
      <c r="D244" s="3">
        <f>_xlfn.XLOOKUP(C244,'Territory List'!$D$2:$D$352,'Territory List'!$G$2:$G$352)</f>
        <v>12</v>
      </c>
      <c r="E244" s="10">
        <f>VLOOKUP(A244,'12-Kath'!$A$2:$F$24,3,FALSE)</f>
        <v>46135</v>
      </c>
      <c r="F244" s="10" t="str">
        <f>VLOOKUP(A244,'12-Kath'!A$1:H$34,7,FALSE)</f>
        <v>9/23/26?</v>
      </c>
      <c r="G244" s="3" t="str">
        <f>VLOOKUP(A244,'12-Kath'!$A$2:$F$24,4,FALSE)</f>
        <v>-</v>
      </c>
      <c r="H244" s="3">
        <f>VLOOKUP(A244,'12-Kath'!$A$2:$F$24,5,FALSE)</f>
        <v>3</v>
      </c>
      <c r="I244" s="3" t="str">
        <f>VLOOKUP(A244,'12-Kath'!$A$2:$F$24,6,FALSE)</f>
        <v>Kathleen</v>
      </c>
      <c r="J244" s="3">
        <f>VLOOKUP(A244,'12-Kath'!$A$1:$H$38,8,FALSE)</f>
        <v>0</v>
      </c>
    </row>
    <row r="245" spans="1:10" x14ac:dyDescent="0.35">
      <c r="A245" s="4" t="s">
        <v>888</v>
      </c>
      <c r="B245" s="4" t="s">
        <v>889</v>
      </c>
      <c r="C245" t="s">
        <v>176</v>
      </c>
      <c r="D245" s="3">
        <f>_xlfn.XLOOKUP(C245,'Territory List'!$D$2:$D$352,'Territory List'!$G$2:$G$352)</f>
        <v>12</v>
      </c>
      <c r="E245" s="10">
        <f>VLOOKUP(A245,'12-Kath'!$A$2:$F$24,3,FALSE)</f>
        <v>46135</v>
      </c>
      <c r="F245" s="10" t="str">
        <f>VLOOKUP(A245,'12-Kath'!A$1:H$34,7,FALSE)</f>
        <v>9/23/26?</v>
      </c>
      <c r="G245" s="3" t="str">
        <f>VLOOKUP(A245,'12-Kath'!$A$2:$F$24,4,FALSE)</f>
        <v>-</v>
      </c>
      <c r="H245" s="3">
        <f>VLOOKUP(A245,'12-Kath'!$A$2:$F$24,5,FALSE)</f>
        <v>0</v>
      </c>
      <c r="I245" s="3" t="str">
        <f>VLOOKUP(A245,'12-Kath'!$A$2:$F$24,6,FALSE)</f>
        <v>-</v>
      </c>
      <c r="J245" s="3">
        <f>VLOOKUP(A245,'12-Kath'!$A$1:$H$38,8,FALSE)</f>
        <v>0</v>
      </c>
    </row>
    <row r="246" spans="1:10" x14ac:dyDescent="0.35">
      <c r="A246" s="4" t="s">
        <v>872</v>
      </c>
      <c r="B246" s="4" t="s">
        <v>686</v>
      </c>
      <c r="C246" t="s">
        <v>161</v>
      </c>
      <c r="D246" s="3">
        <f>_xlfn.XLOOKUP(C246,'Territory List'!$D$2:$D$352,'Territory List'!$G$2:$G$352)</f>
        <v>12</v>
      </c>
      <c r="E246" s="10" t="str">
        <f>VLOOKUP(A246,'12-Kath'!$A$2:$F$24,3,FALSE)</f>
        <v>-</v>
      </c>
      <c r="F246" s="10">
        <f>VLOOKUP(A246,'12-Kath'!A$1:H$34,7,FALSE)</f>
        <v>0</v>
      </c>
      <c r="G246" s="3" t="str">
        <f>VLOOKUP(A246,'12-Kath'!$A$2:$F$24,4,FALSE)</f>
        <v>Coordinate with Niki</v>
      </c>
      <c r="H246" s="3">
        <f>VLOOKUP(A246,'12-Kath'!$A$2:$F$24,5,FALSE)</f>
        <v>10</v>
      </c>
      <c r="I246" s="3" t="str">
        <f>VLOOKUP(A246,'12-Kath'!$A$2:$F$24,6,FALSE)</f>
        <v>2 advisors</v>
      </c>
      <c r="J246" s="3">
        <f>VLOOKUP(A246,'12-Kath'!$A$1:$H$38,8,FALSE)</f>
        <v>0</v>
      </c>
    </row>
    <row r="247" spans="1:10" x14ac:dyDescent="0.35">
      <c r="A247" s="4" t="s">
        <v>852</v>
      </c>
      <c r="B247" s="4" t="s">
        <v>851</v>
      </c>
      <c r="C247" t="s">
        <v>172</v>
      </c>
      <c r="D247" s="3">
        <f>_xlfn.XLOOKUP(C247,'Territory List'!$D$2:$D$352,'Territory List'!$G$2:$G$352)</f>
        <v>12</v>
      </c>
      <c r="E247" s="10">
        <f>VLOOKUP(A247,'12-Kath'!$A$2:$F$24,3,FALSE)</f>
        <v>46135</v>
      </c>
      <c r="F247" s="10" t="str">
        <f>VLOOKUP(A247,'12-Kath'!A$1:H$34,7,FALSE)</f>
        <v>9/23/26?</v>
      </c>
      <c r="G247" s="3" t="str">
        <f>VLOOKUP(A247,'12-Kath'!$A$2:$F$24,4,FALSE)</f>
        <v>Never responded</v>
      </c>
      <c r="H247" s="3">
        <f>VLOOKUP(A247,'12-Kath'!$A$2:$F$24,5,FALSE)</f>
        <v>3</v>
      </c>
      <c r="I247" s="3" t="str">
        <f>VLOOKUP(A247,'12-Kath'!$A$2:$F$24,6,FALSE)</f>
        <v>-</v>
      </c>
      <c r="J247" s="3">
        <f>VLOOKUP(A247,'12-Kath'!$A$1:$H$38,8,FALSE)</f>
        <v>0</v>
      </c>
    </row>
    <row r="248" spans="1:10" x14ac:dyDescent="0.35">
      <c r="A248" s="4" t="s">
        <v>850</v>
      </c>
      <c r="B248" s="4" t="s">
        <v>851</v>
      </c>
      <c r="C248" t="s">
        <v>172</v>
      </c>
      <c r="D248" s="3">
        <f>_xlfn.XLOOKUP(C248,'Territory List'!$D$2:$D$352,'Territory List'!$G$2:$G$352)</f>
        <v>12</v>
      </c>
      <c r="E248" s="10">
        <f>VLOOKUP(A248,'12-Kath'!$A$2:$F$24,3,FALSE)</f>
        <v>46135</v>
      </c>
      <c r="F248" s="10" t="str">
        <f>VLOOKUP(A248,'12-Kath'!A$1:H$34,7,FALSE)</f>
        <v>9/23/26?</v>
      </c>
      <c r="G248" s="3" t="str">
        <f>VLOOKUP(A248,'12-Kath'!$A$2:$F$24,4,FALSE)</f>
        <v>-</v>
      </c>
      <c r="H248" s="3">
        <f>VLOOKUP(A248,'12-Kath'!$A$2:$F$24,5,FALSE)</f>
        <v>3</v>
      </c>
      <c r="I248" s="3" t="str">
        <f>VLOOKUP(A248,'12-Kath'!$A$2:$F$24,6,FALSE)</f>
        <v>-</v>
      </c>
      <c r="J248" s="3">
        <f>VLOOKUP(A248,'12-Kath'!$A$1:$H$38,8,FALSE)</f>
        <v>0</v>
      </c>
    </row>
    <row r="249" spans="1:10" x14ac:dyDescent="0.35">
      <c r="A249" s="4" t="s">
        <v>821</v>
      </c>
      <c r="B249" s="4" t="s">
        <v>538</v>
      </c>
      <c r="C249" t="s">
        <v>153</v>
      </c>
      <c r="D249" s="3">
        <f>_xlfn.XLOOKUP(C249,'Territory List'!$D$2:$D$352,'Territory List'!$G$2:$G$352)</f>
        <v>12</v>
      </c>
      <c r="E249" s="10">
        <f>VLOOKUP(A249,'12-Kath'!$A$2:$F$24,3,FALSE)</f>
        <v>46163</v>
      </c>
      <c r="F249" s="10">
        <f>VLOOKUP(A249,'12-Kath'!A$1:H$34,7,FALSE)</f>
        <v>0</v>
      </c>
      <c r="G249" s="3" t="str">
        <f>VLOOKUP(A249,'12-Kath'!$A$2:$F$24,4,FALSE)</f>
        <v>-</v>
      </c>
      <c r="H249" s="3" t="str">
        <f>VLOOKUP(A249,'12-Kath'!$A$2:$F$24,5,FALSE)</f>
        <v>-</v>
      </c>
      <c r="I249" s="3" t="str">
        <f>VLOOKUP(A249,'12-Kath'!$A$2:$F$24,6,FALSE)</f>
        <v>-</v>
      </c>
      <c r="J249" s="3">
        <f>VLOOKUP(A249,'12-Kath'!$A$1:$H$38,8,FALSE)</f>
        <v>0</v>
      </c>
    </row>
    <row r="250" spans="1:10" x14ac:dyDescent="0.35">
      <c r="A250" s="4" t="s">
        <v>803</v>
      </c>
      <c r="B250" s="4" t="s">
        <v>804</v>
      </c>
      <c r="C250" t="s">
        <v>169</v>
      </c>
      <c r="D250" s="3">
        <f>_xlfn.XLOOKUP(C250,'Territory List'!$D$2:$D$352,'Territory List'!$G$2:$G$352)</f>
        <v>12</v>
      </c>
      <c r="E250" s="10" t="str">
        <f>VLOOKUP(A250,'12-Kath'!$A$2:$F$24,3,FALSE)</f>
        <v>emailed PR</v>
      </c>
      <c r="F250" s="10">
        <f>VLOOKUP(A250,'12-Kath'!A$1:H$34,7,FALSE)</f>
        <v>46260</v>
      </c>
      <c r="G250" s="3" t="str">
        <f>VLOOKUP(A250,'12-Kath'!$A$2:$F$24,4,FALSE)</f>
        <v>-</v>
      </c>
      <c r="H250" s="3">
        <f>VLOOKUP(A250,'12-Kath'!$A$2:$F$24,5,FALSE)</f>
        <v>1</v>
      </c>
      <c r="I250" s="3" t="str">
        <f>VLOOKUP(A250,'12-Kath'!$A$2:$F$24,6,FALSE)</f>
        <v>-</v>
      </c>
      <c r="J250" s="3">
        <f>VLOOKUP(A250,'12-Kath'!$A$1:$H$38,8,FALSE)</f>
        <v>1</v>
      </c>
    </row>
    <row r="251" spans="1:10" x14ac:dyDescent="0.35">
      <c r="A251" s="4" t="s">
        <v>725</v>
      </c>
      <c r="B251" s="4" t="s">
        <v>726</v>
      </c>
      <c r="C251" t="s">
        <v>165</v>
      </c>
      <c r="D251" s="3">
        <f>_xlfn.XLOOKUP(C251,'Territory List'!$D$2:$D$352,'Territory List'!$G$2:$G$352)</f>
        <v>12</v>
      </c>
      <c r="E251" s="10" t="str">
        <f>VLOOKUP(A251,'12-Kath'!$A$2:$F$24,3,FALSE)</f>
        <v>email out</v>
      </c>
      <c r="F251" s="10">
        <f>VLOOKUP(A251,'12-Kath'!A$1:H$34,7,FALSE)</f>
        <v>0</v>
      </c>
      <c r="G251" s="3" t="str">
        <f>VLOOKUP(A251,'12-Kath'!$A$2:$F$24,4,FALSE)</f>
        <v>-</v>
      </c>
      <c r="H251" s="3">
        <f>VLOOKUP(A251,'12-Kath'!$A$2:$F$24,5,FALSE)</f>
        <v>3</v>
      </c>
      <c r="I251" s="3" t="str">
        <f>VLOOKUP(A251,'12-Kath'!$A$2:$F$24,6,FALSE)</f>
        <v>-</v>
      </c>
      <c r="J251" s="3">
        <f>VLOOKUP(A251,'12-Kath'!$A$1:$H$38,8,FALSE)</f>
        <v>0</v>
      </c>
    </row>
    <row r="252" spans="1:10" x14ac:dyDescent="0.35">
      <c r="A252" s="4" t="s">
        <v>699</v>
      </c>
      <c r="B252" s="4" t="s">
        <v>700</v>
      </c>
      <c r="C252" t="s">
        <v>163</v>
      </c>
      <c r="D252" s="3">
        <f>_xlfn.XLOOKUP(C252,'Territory List'!$D$2:$D$352,'Territory List'!$G$2:$G$352)</f>
        <v>12</v>
      </c>
      <c r="E252" s="10" t="str">
        <f>VLOOKUP(A252,'12-Kath'!$A$2:$F$24,3,FALSE)</f>
        <v>-</v>
      </c>
      <c r="F252" s="10">
        <f>VLOOKUP(A252,'12-Kath'!A$1:H$34,7,FALSE)</f>
        <v>0</v>
      </c>
      <c r="G252" s="3" t="str">
        <f>VLOOKUP(A252,'12-Kath'!$A$2:$F$24,4,FALSE)</f>
        <v>no treasurer yet</v>
      </c>
      <c r="H252" s="3">
        <f>VLOOKUP(A252,'12-Kath'!$A$2:$F$24,5,FALSE)</f>
        <v>3</v>
      </c>
      <c r="I252" s="3" t="str">
        <f>VLOOKUP(A252,'12-Kath'!$A$2:$F$24,6,FALSE)</f>
        <v>-</v>
      </c>
      <c r="J252" s="3">
        <f>VLOOKUP(A252,'12-Kath'!$A$1:$H$38,8,FALSE)</f>
        <v>0</v>
      </c>
    </row>
    <row r="253" spans="1:10" x14ac:dyDescent="0.35">
      <c r="A253" s="4" t="s">
        <v>698</v>
      </c>
      <c r="B253" s="4" t="s">
        <v>365</v>
      </c>
      <c r="C253" t="s">
        <v>162</v>
      </c>
      <c r="D253" s="3">
        <f>_xlfn.XLOOKUP(C253,'Territory List'!$D$2:$D$352,'Territory List'!$G$2:$G$352)</f>
        <v>12</v>
      </c>
      <c r="E253" s="10">
        <f>VLOOKUP(A253,'12-Kath'!$A$2:$F$24,3,FALSE)</f>
        <v>46140</v>
      </c>
      <c r="F253" s="10" t="str">
        <f>VLOOKUP(A253,'12-Kath'!A$1:H$34,7,FALSE)</f>
        <v>9/21/2026?</v>
      </c>
      <c r="G253" s="3" t="str">
        <f>VLOOKUP(A253,'12-Kath'!$A$2:$F$24,4,FALSE)</f>
        <v>-</v>
      </c>
      <c r="H253" s="3">
        <f>VLOOKUP(A253,'12-Kath'!$A$2:$F$24,5,FALSE)</f>
        <v>4</v>
      </c>
      <c r="I253" s="3" t="str">
        <f>VLOOKUP(A253,'12-Kath'!$A$2:$F$24,6,FALSE)</f>
        <v>2 advisors</v>
      </c>
      <c r="J253" s="3">
        <f>VLOOKUP(A253,'12-Kath'!$A$1:$H$38,8,FALSE)</f>
        <v>0</v>
      </c>
    </row>
    <row r="254" spans="1:10" x14ac:dyDescent="0.35">
      <c r="A254" s="4" t="s">
        <v>687</v>
      </c>
      <c r="B254" s="4" t="s">
        <v>686</v>
      </c>
      <c r="C254" t="s">
        <v>161</v>
      </c>
      <c r="D254" s="3">
        <f>_xlfn.XLOOKUP(C254,'Territory List'!$D$2:$D$352,'Territory List'!$G$2:$G$352)</f>
        <v>12</v>
      </c>
      <c r="E254" s="10" t="str">
        <f>VLOOKUP(A254,'12-Kath'!$A$2:$F$24,3,FALSE)</f>
        <v>-</v>
      </c>
      <c r="F254" s="10">
        <v>46034</v>
      </c>
      <c r="G254" s="3" t="str">
        <f>VLOOKUP(A254,'12-Kath'!$A$2:$F$24,4,FALSE)</f>
        <v>Coordinate with Will Adamczyk</v>
      </c>
      <c r="H254" s="3">
        <f>VLOOKUP(A254,'12-Kath'!$A$2:$F$24,5,FALSE)</f>
        <v>10</v>
      </c>
      <c r="I254" s="3" t="str">
        <f>VLOOKUP(A254,'12-Kath'!$A$2:$F$24,6,FALSE)</f>
        <v>2 advisors</v>
      </c>
      <c r="J254" s="3">
        <f>VLOOKUP(A254,'12-Kath'!$A$1:$H$38,8,FALSE)</f>
        <v>0</v>
      </c>
    </row>
    <row r="255" spans="1:10" x14ac:dyDescent="0.35">
      <c r="A255" s="4" t="s">
        <v>685</v>
      </c>
      <c r="B255" s="4" t="s">
        <v>686</v>
      </c>
      <c r="C255" t="s">
        <v>161</v>
      </c>
      <c r="D255" s="3">
        <f>_xlfn.XLOOKUP(C255,'Territory List'!$D$2:$D$352,'Territory List'!$G$2:$G$352)</f>
        <v>12</v>
      </c>
      <c r="E255" s="10" t="str">
        <f>VLOOKUP(A255,'12-Kath'!$A$2:$F$24,3,FALSE)</f>
        <v>-</v>
      </c>
      <c r="F255" s="10">
        <v>46034</v>
      </c>
      <c r="G255" s="3" t="str">
        <f>VLOOKUP(A255,'12-Kath'!$A$2:$F$24,4,FALSE)</f>
        <v>Coordinate with Will Adamczyk</v>
      </c>
      <c r="H255" s="3">
        <f>VLOOKUP(A255,'12-Kath'!$A$2:$F$24,5,FALSE)</f>
        <v>10</v>
      </c>
      <c r="I255" s="3" t="str">
        <f>VLOOKUP(A255,'12-Kath'!$A$2:$F$24,6,FALSE)</f>
        <v>2 advisors</v>
      </c>
      <c r="J255" s="3">
        <f>VLOOKUP(A255,'12-Kath'!$A$1:$H$38,8,FALSE)</f>
        <v>0</v>
      </c>
    </row>
    <row r="256" spans="1:10" x14ac:dyDescent="0.35">
      <c r="A256" s="4" t="s">
        <v>662</v>
      </c>
      <c r="B256" s="4" t="s">
        <v>663</v>
      </c>
      <c r="C256" t="s">
        <v>158</v>
      </c>
      <c r="D256" s="3">
        <f>_xlfn.XLOOKUP(C256,'Territory List'!$D$2:$D$352,'Territory List'!$G$2:$G$352)</f>
        <v>12</v>
      </c>
      <c r="E256" s="10">
        <f>VLOOKUP(A256,'12-Kath'!$A$2:$F$24,3,FALSE)</f>
        <v>46190</v>
      </c>
      <c r="F256" s="10">
        <f>VLOOKUP(A256,'12-Kath'!A$1:H$34,7,FALSE)</f>
        <v>0</v>
      </c>
      <c r="G256" s="3" t="str">
        <f>VLOOKUP(A256,'12-Kath'!$A$2:$F$24,4,FALSE)</f>
        <v>Sent annual, too busy to meet</v>
      </c>
      <c r="H256" s="3">
        <f>VLOOKUP(A256,'12-Kath'!$A$2:$F$24,5,FALSE)</f>
        <v>3</v>
      </c>
      <c r="I256" s="3" t="str">
        <f>VLOOKUP(A256,'12-Kath'!$A$2:$F$24,6,FALSE)</f>
        <v>-</v>
      </c>
      <c r="J256" s="3">
        <f>VLOOKUP(A256,'12-Kath'!$A$1:$H$38,8,FALSE)</f>
        <v>0</v>
      </c>
    </row>
    <row r="257" spans="1:10" x14ac:dyDescent="0.35">
      <c r="A257" s="4" t="s">
        <v>629</v>
      </c>
      <c r="B257" s="4" t="s">
        <v>630</v>
      </c>
      <c r="C257" t="s">
        <v>156</v>
      </c>
      <c r="D257" s="3">
        <f>_xlfn.XLOOKUP(C257,'Territory List'!$D$2:$D$352,'Territory List'!$G$2:$G$352)</f>
        <v>12</v>
      </c>
      <c r="E257" s="10">
        <f>VLOOKUP(A257,'12-Kath'!$A$2:$F$24,3,FALSE)</f>
        <v>46198</v>
      </c>
      <c r="F257" s="10">
        <f>VLOOKUP(A257,'12-Kath'!A$1:H$34,7,FALSE)</f>
        <v>0</v>
      </c>
      <c r="G257" s="3" t="str">
        <f>VLOOKUP(A257,'12-Kath'!$A$2:$F$24,4,FALSE)</f>
        <v>Lunch and review with Krystal</v>
      </c>
      <c r="H257" s="3" t="str">
        <f>VLOOKUP(A257,'12-Kath'!$A$2:$F$24,5,FALSE)</f>
        <v>-</v>
      </c>
      <c r="I257" s="3" t="str">
        <f>VLOOKUP(A257,'12-Kath'!$A$2:$F$24,6,FALSE)</f>
        <v>-</v>
      </c>
      <c r="J257" s="3">
        <f>VLOOKUP(A257,'12-Kath'!$A$1:$H$38,8,FALSE)</f>
        <v>0</v>
      </c>
    </row>
    <row r="258" spans="1:10" x14ac:dyDescent="0.35">
      <c r="A258" s="4" t="s">
        <v>1028</v>
      </c>
      <c r="B258" s="4" t="s">
        <v>630</v>
      </c>
      <c r="C258" t="s">
        <v>156</v>
      </c>
      <c r="D258" s="3">
        <v>12</v>
      </c>
      <c r="E258" s="10" t="e">
        <f>VLOOKUP(A258,'12-Kath'!$A$2:$F$24,3,FALSE)</f>
        <v>#N/A</v>
      </c>
      <c r="F258" s="10" t="e">
        <f>VLOOKUP(A258,'12-Kath'!A$1:H$34,7,FALSE)</f>
        <v>#N/A</v>
      </c>
      <c r="G258" s="3" t="e">
        <f>VLOOKUP(A258,'12-Kath'!$A$2:$F$24,4,FALSE)</f>
        <v>#N/A</v>
      </c>
      <c r="H258" s="3" t="e">
        <f>VLOOKUP(A258,'12-Kath'!$A$2:$F$24,5,FALSE)</f>
        <v>#N/A</v>
      </c>
      <c r="I258" s="3" t="e">
        <f>VLOOKUP(A258,'12-Kath'!$A$2:$F$24,6,FALSE)</f>
        <v>#N/A</v>
      </c>
      <c r="J258" s="3">
        <v>0</v>
      </c>
    </row>
    <row r="259" spans="1:10" x14ac:dyDescent="0.35">
      <c r="A259" s="4" t="s">
        <v>627</v>
      </c>
      <c r="B259" s="4" t="s">
        <v>628</v>
      </c>
      <c r="C259" t="s">
        <v>155</v>
      </c>
      <c r="D259" s="3">
        <f>_xlfn.XLOOKUP(C259,'Territory List'!$D$2:$D$352,'Territory List'!$G$2:$G$352)</f>
        <v>12</v>
      </c>
      <c r="E259" s="10">
        <f>VLOOKUP(A259,'12-Kath'!$A$2:$F$24,3,FALSE)</f>
        <v>46139</v>
      </c>
      <c r="F259" s="10">
        <f>VLOOKUP(A259,'12-Kath'!A$1:H$34,7,FALSE)</f>
        <v>0</v>
      </c>
      <c r="G259" s="3" t="str">
        <f>VLOOKUP(A259,'12-Kath'!$A$2:$F$24,4,FALSE)</f>
        <v>-</v>
      </c>
      <c r="H259" s="3" t="str">
        <f>VLOOKUP(A259,'12-Kath'!$A$2:$F$24,5,FALSE)</f>
        <v>-</v>
      </c>
      <c r="I259" s="3" t="str">
        <f>VLOOKUP(A259,'12-Kath'!$A$2:$F$24,6,FALSE)</f>
        <v>-</v>
      </c>
      <c r="J259" s="3">
        <f>VLOOKUP(A259,'12-Kath'!$A$1:$H$38,8,FALSE)</f>
        <v>0</v>
      </c>
    </row>
    <row r="260" spans="1:10" x14ac:dyDescent="0.35">
      <c r="A260" s="4" t="s">
        <v>595</v>
      </c>
      <c r="B260" s="4" t="s">
        <v>596</v>
      </c>
      <c r="C260" t="s">
        <v>154</v>
      </c>
      <c r="D260" s="3">
        <f>_xlfn.XLOOKUP(C260,'Territory List'!$D$2:$D$352,'Territory List'!$G$2:$G$352)</f>
        <v>12</v>
      </c>
      <c r="E260" s="10">
        <f>VLOOKUP(A260,'12-Kath'!$A$2:$F$24,3,FALSE)</f>
        <v>46134</v>
      </c>
      <c r="F260" s="10" t="str">
        <f>VLOOKUP(A260,'12-Kath'!A$1:H$34,7,FALSE)</f>
        <v>9/21/26?</v>
      </c>
      <c r="G260" s="3" t="str">
        <f>VLOOKUP(A260,'12-Kath'!$A$2:$F$24,4,FALSE)</f>
        <v>-</v>
      </c>
      <c r="H260" s="3">
        <f>VLOOKUP(A260,'12-Kath'!$A$2:$F$24,5,FALSE)</f>
        <v>1</v>
      </c>
      <c r="I260" s="3" t="str">
        <f>VLOOKUP(A260,'12-Kath'!$A$2:$F$24,6,FALSE)</f>
        <v>-</v>
      </c>
      <c r="J260" s="3">
        <f>VLOOKUP(A260,'12-Kath'!$A$1:$H$38,8,FALSE)</f>
        <v>0</v>
      </c>
    </row>
    <row r="261" spans="1:10" x14ac:dyDescent="0.35">
      <c r="A261" s="4" t="s">
        <v>537</v>
      </c>
      <c r="B261" s="4" t="s">
        <v>538</v>
      </c>
      <c r="C261" t="s">
        <v>153</v>
      </c>
      <c r="D261" s="3">
        <f>_xlfn.XLOOKUP(C261,'Territory List'!$D$2:$D$352,'Territory List'!$G$2:$G$352)</f>
        <v>12</v>
      </c>
      <c r="E261" s="10">
        <f>VLOOKUP(A261,'12-Kath'!$A$2:$F$24,3,FALSE)</f>
        <v>46134</v>
      </c>
      <c r="F261" s="10">
        <f>VLOOKUP(A261,'12-Kath'!A$1:H$34,7,FALSE)</f>
        <v>46260</v>
      </c>
      <c r="G261" s="3" t="str">
        <f>VLOOKUP(A261,'12-Kath'!$A$2:$F$24,4,FALSE)</f>
        <v>-</v>
      </c>
      <c r="H261" s="3">
        <f>VLOOKUP(A261,'12-Kath'!$A$2:$F$24,5,FALSE)</f>
        <v>4</v>
      </c>
      <c r="I261" s="3" t="str">
        <f>VLOOKUP(A261,'12-Kath'!$A$2:$F$24,6,FALSE)</f>
        <v>-</v>
      </c>
      <c r="J261" s="3">
        <f>VLOOKUP(A261,'12-Kath'!$A$1:$H$38,8,FALSE)</f>
        <v>1</v>
      </c>
    </row>
    <row r="262" spans="1:10" x14ac:dyDescent="0.35">
      <c r="A262" s="4" t="s">
        <v>494</v>
      </c>
      <c r="B262" s="4" t="s">
        <v>495</v>
      </c>
      <c r="C262" t="s">
        <v>151</v>
      </c>
      <c r="D262" s="3">
        <f>_xlfn.XLOOKUP(C262,'Territory List'!$D$2:$D$352,'Territory List'!$G$2:$G$352)</f>
        <v>12</v>
      </c>
      <c r="E262" s="10">
        <f>VLOOKUP(A262,'12-Kath'!$A$2:$F$24,3,FALSE)</f>
        <v>46163</v>
      </c>
      <c r="F262" s="10">
        <f>VLOOKUP(A262,'12-Kath'!A$1:H$34,7,FALSE)</f>
        <v>0</v>
      </c>
      <c r="G262" s="3" t="str">
        <f>VLOOKUP(A262,'12-Kath'!$A$2:$F$24,4,FALSE)</f>
        <v>-</v>
      </c>
      <c r="H262" s="3" t="str">
        <f>VLOOKUP(A262,'12-Kath'!$A$2:$F$24,5,FALSE)</f>
        <v>-</v>
      </c>
      <c r="I262" s="3" t="str">
        <f>VLOOKUP(A262,'12-Kath'!$A$2:$F$24,6,FALSE)</f>
        <v>-</v>
      </c>
      <c r="J262" s="3">
        <f>VLOOKUP(A262,'12-Kath'!$A$1:$H$38,8,FALSE)</f>
        <v>0</v>
      </c>
    </row>
    <row r="263" spans="1:10" x14ac:dyDescent="0.35">
      <c r="A263" s="4" t="s">
        <v>404</v>
      </c>
      <c r="B263" s="4" t="s">
        <v>405</v>
      </c>
      <c r="C263" t="s">
        <v>142</v>
      </c>
      <c r="D263" s="3">
        <f>_xlfn.XLOOKUP(C263,'Territory List'!$D$2:$D$352,'Territory List'!$G$2:$G$352)</f>
        <v>12</v>
      </c>
      <c r="E263" s="10">
        <f>VLOOKUP(A263,'12-Kath'!$A$2:$F$24,3,FALSE)</f>
        <v>46163</v>
      </c>
      <c r="F263" s="10">
        <f>VLOOKUP(A263,'12-Kath'!A$1:H$34,7,FALSE)</f>
        <v>0</v>
      </c>
      <c r="G263" s="3">
        <f>VLOOKUP(A263,'12-Kath'!$A$2:$F$24,4,FALSE)</f>
        <v>0</v>
      </c>
      <c r="H263" s="3" t="str">
        <f>VLOOKUP(A263,'12-Kath'!$A$2:$F$24,5,FALSE)</f>
        <v>-</v>
      </c>
      <c r="I263" s="3" t="str">
        <f>VLOOKUP(A263,'12-Kath'!$A$2:$F$24,6,FALSE)</f>
        <v>-</v>
      </c>
      <c r="J263" s="3">
        <f>VLOOKUP(A263,'12-Kath'!$A$1:$H$38,8,FALSE)</f>
        <v>0</v>
      </c>
    </row>
    <row r="264" spans="1:10" x14ac:dyDescent="0.35">
      <c r="A264" s="4" t="s">
        <v>385</v>
      </c>
      <c r="B264" s="4" t="s">
        <v>386</v>
      </c>
      <c r="C264" t="s">
        <v>141</v>
      </c>
      <c r="D264" s="3">
        <f>_xlfn.XLOOKUP(C264,'Territory List'!$D$2:$D$352,'Territory List'!$G$2:$G$352)</f>
        <v>12</v>
      </c>
      <c r="E264" s="10">
        <f>VLOOKUP(A264,'12-Kath'!$A$2:$F$24,3,FALSE)</f>
        <v>46134</v>
      </c>
      <c r="F264" s="10">
        <f>VLOOKUP(A264,'12-Kath'!A$1:H$34,7,FALSE)</f>
        <v>46260</v>
      </c>
      <c r="G264" s="3" t="str">
        <f>VLOOKUP(A264,'12-Kath'!$A$2:$F$24,4,FALSE)</f>
        <v>-</v>
      </c>
      <c r="H264" s="3" t="str">
        <f>VLOOKUP(A264,'12-Kath'!$A$2:$F$24,5,FALSE)</f>
        <v>-</v>
      </c>
      <c r="I264" s="3" t="str">
        <f>VLOOKUP(A264,'12-Kath'!$A$2:$F$24,6,FALSE)</f>
        <v>-</v>
      </c>
      <c r="J264" s="3">
        <f>VLOOKUP(A264,'12-Kath'!$A$1:$H$38,8,FALSE)</f>
        <v>1</v>
      </c>
    </row>
    <row r="265" spans="1:10" x14ac:dyDescent="0.35">
      <c r="A265" s="4" t="s">
        <v>364</v>
      </c>
      <c r="B265" s="4" t="s">
        <v>365</v>
      </c>
      <c r="C265" t="s">
        <v>162</v>
      </c>
      <c r="D265" s="3">
        <f>_xlfn.XLOOKUP(C265,'Territory List'!$D$2:$D$352,'Territory List'!$G$2:$G$352)</f>
        <v>12</v>
      </c>
      <c r="E265" s="10">
        <f>VLOOKUP(A265,'12-Kath'!$A$2:$F$24,3,FALSE)</f>
        <v>46148</v>
      </c>
      <c r="F265" s="10">
        <f>VLOOKUP(A265,'12-Kath'!A$1:H$34,7,FALSE)</f>
        <v>0</v>
      </c>
      <c r="G265" s="3" t="str">
        <f>VLOOKUP(A265,'12-Kath'!$A$2:$F$24,4,FALSE)</f>
        <v>Annual May OPEB Board Meeting Only</v>
      </c>
      <c r="H265" s="3" t="str">
        <f>VLOOKUP(A265,'12-Kath'!$A$2:$F$24,5,FALSE)</f>
        <v>-</v>
      </c>
      <c r="I265" s="3" t="str">
        <f>VLOOKUP(A265,'12-Kath'!$A$2:$F$24,6,FALSE)</f>
        <v>2 advisors</v>
      </c>
      <c r="J265" s="3">
        <f>VLOOKUP(A265,'12-Kath'!$A$1:$H$38,8,FALSE)</f>
        <v>1</v>
      </c>
    </row>
    <row r="266" spans="1:10" x14ac:dyDescent="0.35">
      <c r="A266" s="4" t="s">
        <v>929</v>
      </c>
      <c r="B266" s="4" t="s">
        <v>930</v>
      </c>
      <c r="C266" t="s">
        <v>269</v>
      </c>
      <c r="D266" s="3">
        <f>_xlfn.XLOOKUP(C266,'Territory List'!$D$2:$D$352,'Territory List'!$G$2:$G$352)</f>
        <v>13</v>
      </c>
      <c r="E266" s="10" t="str">
        <f>VLOOKUP(A266,'13-Michelle'!$A$2:$F$19,3,FALSE)</f>
        <v>-</v>
      </c>
      <c r="F266" s="10">
        <v>46079</v>
      </c>
      <c r="G266" s="3" t="str">
        <f>VLOOKUP(A266,'13-Michelle'!$A$2:$F$19,4,FALSE)</f>
        <v>-</v>
      </c>
      <c r="H266" s="3" t="str">
        <f>VLOOKUP(A266,'13-Michelle'!$A$2:$F$19,5,FALSE)</f>
        <v>-</v>
      </c>
      <c r="I266" s="3" t="str">
        <f>VLOOKUP(A266,'13-Michelle'!$A$2:$F$19,6,FALSE)</f>
        <v>-</v>
      </c>
      <c r="J266" s="3">
        <f>VLOOKUP(A266,'13-Michelle'!$A$1:$H$35,8,FALSE)</f>
        <v>0</v>
      </c>
    </row>
    <row r="267" spans="1:10" x14ac:dyDescent="0.35">
      <c r="A267" s="4" t="s">
        <v>880</v>
      </c>
      <c r="B267" s="4" t="s">
        <v>881</v>
      </c>
      <c r="C267" t="s">
        <v>266</v>
      </c>
      <c r="D267" s="3">
        <f>_xlfn.XLOOKUP(C267,'Territory List'!$D$2:$D$352,'Territory List'!$G$2:$G$352)</f>
        <v>13</v>
      </c>
      <c r="E267" s="10">
        <f>VLOOKUP(A267,'13-Michelle'!$A$2:$F$19,3,FALSE)</f>
        <v>46113</v>
      </c>
      <c r="F267" s="10" t="str">
        <f>VLOOKUP(A267,'13-Michelle'!$A$1:$H$35,7,FALSE)</f>
        <v>8/26 @2pm</v>
      </c>
      <c r="G267" s="3" t="str">
        <f>VLOOKUP(A267,'13-Michelle'!$A$2:$F$19,4,FALSE)</f>
        <v>OPEB Presentation</v>
      </c>
      <c r="H267" s="3">
        <f>VLOOKUP(A267,'13-Michelle'!$A$2:$F$19,5,FALSE)</f>
        <v>3</v>
      </c>
      <c r="I267" s="3" t="str">
        <f>VLOOKUP(A267,'13-Michelle'!$A$2:$F$19,6,FALSE)</f>
        <v>-</v>
      </c>
      <c r="J267" s="3">
        <f>VLOOKUP(A267,'13-Michelle'!$A$1:$H$35,8,FALSE)</f>
        <v>0</v>
      </c>
    </row>
    <row r="268" spans="1:10" x14ac:dyDescent="0.35">
      <c r="A268" s="11" t="s">
        <v>944</v>
      </c>
      <c r="B268" s="4" t="s">
        <v>881</v>
      </c>
      <c r="C268" t="s">
        <v>266</v>
      </c>
      <c r="D268" s="3">
        <f>_xlfn.XLOOKUP(C268,'Territory List'!$D$2:$D$352,'Territory List'!$G$2:$G$352)</f>
        <v>13</v>
      </c>
      <c r="E268" s="10" t="e">
        <f>VLOOKUP(A268,'13-Michelle'!$A$2:$F$19,3,FALSE)</f>
        <v>#N/A</v>
      </c>
      <c r="F268" s="10" t="e">
        <f>VLOOKUP(A268,'13-Michelle'!$A$1:$H$35,7,FALSE)</f>
        <v>#N/A</v>
      </c>
      <c r="G268" s="3" t="e">
        <f>VLOOKUP(A268,'13-Michelle'!$A$2:$F$19,4,FALSE)</f>
        <v>#N/A</v>
      </c>
      <c r="H268" s="3" t="e">
        <f>VLOOKUP(A268,'13-Michelle'!$A$2:$F$19,5,FALSE)</f>
        <v>#N/A</v>
      </c>
      <c r="I268" s="3" t="e">
        <f>VLOOKUP(A268,'13-Michelle'!$A$2:$F$19,6,FALSE)</f>
        <v>#N/A</v>
      </c>
      <c r="J268" s="3">
        <f>_xlfn.IFNA(VLOOKUP(A268,'13-Michelle'!$A$1:$H$35,8,FALSE),0)</f>
        <v>0</v>
      </c>
    </row>
    <row r="269" spans="1:10" x14ac:dyDescent="0.35">
      <c r="A269" s="4" t="s">
        <v>843</v>
      </c>
      <c r="B269" s="4" t="s">
        <v>842</v>
      </c>
      <c r="C269" t="s">
        <v>263</v>
      </c>
      <c r="D269" s="3">
        <f>_xlfn.XLOOKUP(C269,'Territory List'!$D$2:$D$352,'Territory List'!$G$2:$G$352)</f>
        <v>13</v>
      </c>
      <c r="E269" s="10" t="str">
        <f>VLOOKUP(A269,'13-Michelle'!$A$2:$F$19,3,FALSE)</f>
        <v>-</v>
      </c>
      <c r="F269" s="10">
        <f>VLOOKUP(A269,'13-Michelle'!$A$1:$H$35,7,FALSE)</f>
        <v>0</v>
      </c>
      <c r="G269" s="3" t="str">
        <f>VLOOKUP(A269,'13-Michelle'!$A$2:$F$19,4,FALSE)</f>
        <v>One click send</v>
      </c>
      <c r="H269" s="3">
        <f>VLOOKUP(A269,'13-Michelle'!$A$2:$F$19,5,FALSE)</f>
        <v>3</v>
      </c>
      <c r="I269" s="3" t="str">
        <f>VLOOKUP(A269,'13-Michelle'!$A$2:$F$19,6,FALSE)</f>
        <v>-</v>
      </c>
      <c r="J269" s="3">
        <f>VLOOKUP(A269,'13-Michelle'!$A$1:$H$35,8,FALSE)</f>
        <v>0</v>
      </c>
    </row>
    <row r="270" spans="1:10" x14ac:dyDescent="0.35">
      <c r="A270" s="4" t="s">
        <v>841</v>
      </c>
      <c r="B270" s="4" t="s">
        <v>842</v>
      </c>
      <c r="C270" t="s">
        <v>263</v>
      </c>
      <c r="D270" s="3">
        <f>_xlfn.XLOOKUP(C270,'Territory List'!$D$2:$D$352,'Territory List'!$G$2:$G$352)</f>
        <v>13</v>
      </c>
      <c r="E270" s="10">
        <v>46120</v>
      </c>
      <c r="F270" s="10">
        <v>46120</v>
      </c>
      <c r="G270" s="3"/>
      <c r="H270" s="3">
        <f>VLOOKUP(A270,'13-Michelle'!$A$2:$F$19,5,FALSE)</f>
        <v>8</v>
      </c>
      <c r="I270" s="3" t="str">
        <f>VLOOKUP(A270,'13-Michelle'!$A$2:$F$19,6,FALSE)</f>
        <v>-</v>
      </c>
      <c r="J270" s="3">
        <f>VLOOKUP(A270,'13-Michelle'!$A$1:$H$35,8,FALSE)</f>
        <v>0</v>
      </c>
    </row>
    <row r="271" spans="1:10" x14ac:dyDescent="0.35">
      <c r="A271" s="4" t="s">
        <v>800</v>
      </c>
      <c r="B271" s="4" t="s">
        <v>801</v>
      </c>
      <c r="C271" t="s">
        <v>261</v>
      </c>
      <c r="D271" s="3">
        <f>_xlfn.XLOOKUP(C271,'Territory List'!$D$2:$D$352,'Territory List'!$G$2:$G$352)</f>
        <v>13</v>
      </c>
      <c r="E271" s="10">
        <f>VLOOKUP(A271,'13-Michelle'!$A$2:$F$19,3,FALSE)</f>
        <v>0</v>
      </c>
      <c r="F271" s="10" t="str">
        <f>VLOOKUP(A271,'13-Michelle'!$A$1:$H$35,7,FALSE)</f>
        <v>8/26 @ 11am</v>
      </c>
      <c r="G271" s="3">
        <f>VLOOKUP(A271,'13-Michelle'!$A$2:$F$19,4,FALSE)</f>
        <v>0</v>
      </c>
      <c r="H271" s="3">
        <f>VLOOKUP(A271,'13-Michelle'!$A$2:$F$19,5,FALSE)</f>
        <v>3</v>
      </c>
      <c r="I271" s="3" t="str">
        <f>VLOOKUP(A271,'13-Michelle'!$A$2:$F$19,6,FALSE)</f>
        <v>-</v>
      </c>
      <c r="J271" s="3">
        <f>VLOOKUP(A271,'13-Michelle'!$A$1:$H$35,8,FALSE)</f>
        <v>0</v>
      </c>
    </row>
    <row r="272" spans="1:10" x14ac:dyDescent="0.35">
      <c r="A272" s="4" t="s">
        <v>770</v>
      </c>
      <c r="B272" s="4" t="s">
        <v>771</v>
      </c>
      <c r="C272" t="s">
        <v>255</v>
      </c>
      <c r="D272" s="3">
        <f>_xlfn.XLOOKUP(C272,'Territory List'!$D$2:$D$352,'Territory List'!$G$2:$G$352)</f>
        <v>13</v>
      </c>
      <c r="E272" s="10" t="str">
        <f>VLOOKUP(A272,'13-Michelle'!$A$2:$F$19,3,FALSE)</f>
        <v>-</v>
      </c>
      <c r="F272" s="10">
        <v>46077</v>
      </c>
      <c r="G272" s="3" t="str">
        <f>VLOOKUP(A272,'13-Michelle'!$A$2:$F$19,4,FALSE)</f>
        <v>Luddington Trust w/school committee</v>
      </c>
      <c r="H272" s="3">
        <f>VLOOKUP(A272,'13-Michelle'!$A$2:$F$19,5,FALSE)</f>
        <v>3</v>
      </c>
      <c r="I272" s="3" t="str">
        <f>VLOOKUP(A272,'13-Michelle'!$A$2:$F$19,6,FALSE)</f>
        <v>-</v>
      </c>
      <c r="J272" s="3">
        <f>VLOOKUP(A272,'13-Michelle'!$A$1:$H$35,8,FALSE)</f>
        <v>0</v>
      </c>
    </row>
    <row r="273" spans="1:10" x14ac:dyDescent="0.35">
      <c r="A273" s="4" t="s">
        <v>681</v>
      </c>
      <c r="B273" s="4" t="s">
        <v>682</v>
      </c>
      <c r="C273" t="s">
        <v>248</v>
      </c>
      <c r="D273" s="3">
        <f>_xlfn.XLOOKUP(C273,'Territory List'!$D$2:$D$352,'Territory List'!$G$2:$G$352)</f>
        <v>13</v>
      </c>
      <c r="E273" s="10">
        <f>VLOOKUP(A273,'13-Michelle'!$A$2:$F$19,3,FALSE)</f>
        <v>46125</v>
      </c>
      <c r="F273" s="10" t="str">
        <f>VLOOKUP(A273,'13-Michelle'!$A$1:$H$35,7,FALSE)</f>
        <v>9/3 @ 1:30</v>
      </c>
      <c r="G273" s="3" t="str">
        <f>VLOOKUP(A273,'13-Michelle'!$A$2:$F$19,4,FALSE)</f>
        <v>-</v>
      </c>
      <c r="H273" s="3" t="str">
        <f>VLOOKUP(A273,'13-Michelle'!$A$2:$F$19,5,FALSE)</f>
        <v>-</v>
      </c>
      <c r="I273" s="3" t="str">
        <f>VLOOKUP(A273,'13-Michelle'!$A$2:$F$19,6,FALSE)</f>
        <v>-</v>
      </c>
      <c r="J273" s="3">
        <f>VLOOKUP(A273,'13-Michelle'!$A$1:$H$35,8,FALSE)</f>
        <v>0</v>
      </c>
    </row>
    <row r="274" spans="1:10" x14ac:dyDescent="0.35">
      <c r="A274" s="4" t="s">
        <v>670</v>
      </c>
      <c r="B274" s="4" t="s">
        <v>671</v>
      </c>
      <c r="C274" t="s">
        <v>250</v>
      </c>
      <c r="D274" s="3">
        <f>_xlfn.XLOOKUP(C274,'Territory List'!$D$2:$D$352,'Territory List'!$G$2:$G$352)</f>
        <v>13</v>
      </c>
      <c r="E274" s="10">
        <v>46073</v>
      </c>
      <c r="F274" s="10">
        <v>46073</v>
      </c>
      <c r="G274" s="3" t="str">
        <f>VLOOKUP(A274,'13-Michelle'!$A$2:$F$19,4,FALSE)</f>
        <v>-</v>
      </c>
      <c r="H274" s="3" t="str">
        <f>VLOOKUP(A274,'13-Michelle'!$A$2:$F$19,5,FALSE)</f>
        <v>-</v>
      </c>
      <c r="I274" s="3" t="str">
        <f>VLOOKUP(A274,'13-Michelle'!$A$2:$F$19,6,FALSE)</f>
        <v>-</v>
      </c>
      <c r="J274" s="3">
        <f>VLOOKUP(A274,'13-Michelle'!$A$1:$H$35,8,FALSE)</f>
        <v>0</v>
      </c>
    </row>
    <row r="275" spans="1:10" x14ac:dyDescent="0.35">
      <c r="A275" s="4" t="s">
        <v>656</v>
      </c>
      <c r="B275" s="4" t="s">
        <v>657</v>
      </c>
      <c r="C275" t="s">
        <v>244</v>
      </c>
      <c r="D275" s="3">
        <f>_xlfn.XLOOKUP(C275,'Territory List'!$D$2:$D$352,'Territory List'!$G$2:$G$352)</f>
        <v>13</v>
      </c>
      <c r="E275" s="10" t="str">
        <f>VLOOKUP(A275,'13-Michelle'!$A$2:$F$19,3,FALSE)</f>
        <v>5/19 @ 12pm</v>
      </c>
      <c r="F275" s="10">
        <f>VLOOKUP(A275,'13-Michelle'!$A$1:$H$35,7,FALSE)</f>
        <v>0</v>
      </c>
      <c r="G275" s="3" t="str">
        <f>VLOOKUP(A275,'13-Michelle'!$A$2:$F$19,4,FALSE)</f>
        <v>Not run on fiscal year/have annual meeting end of Dec or early Jan each year</v>
      </c>
      <c r="H275" s="3" t="str">
        <f>VLOOKUP(A275,'13-Michelle'!$A$2:$F$19,5,FALSE)</f>
        <v>-</v>
      </c>
      <c r="I275" s="3" t="str">
        <f>VLOOKUP(A275,'13-Michelle'!$A$2:$F$19,6,FALSE)</f>
        <v>-</v>
      </c>
      <c r="J275" s="3">
        <f>VLOOKUP(A275,'13-Michelle'!$A$1:$H$35,8,FALSE)</f>
        <v>0</v>
      </c>
    </row>
    <row r="276" spans="1:10" x14ac:dyDescent="0.35">
      <c r="A276" s="4" t="s">
        <v>589</v>
      </c>
      <c r="B276" s="4" t="s">
        <v>590</v>
      </c>
      <c r="C276" t="s">
        <v>243</v>
      </c>
      <c r="D276" s="3">
        <f>_xlfn.XLOOKUP(C276,'Territory List'!$D$2:$D$352,'Territory List'!$G$2:$G$352)</f>
        <v>13</v>
      </c>
      <c r="E276" s="10" t="str">
        <f>VLOOKUP(A276,'13-Michelle'!$A$2:$F$19,3,FALSE)</f>
        <v>-</v>
      </c>
      <c r="F276" s="10">
        <f>VLOOKUP(A276,'13-Michelle'!$A$1:$H$35,7,FALSE)</f>
        <v>0</v>
      </c>
      <c r="G276" s="3" t="s">
        <v>1055</v>
      </c>
      <c r="H276" s="3">
        <f>VLOOKUP(A276,'13-Michelle'!$A$2:$F$19,5,FALSE)</f>
        <v>3</v>
      </c>
      <c r="I276" s="3" t="str">
        <f>VLOOKUP(A276,'13-Michelle'!$A$2:$F$19,6,FALSE)</f>
        <v>-</v>
      </c>
      <c r="J276" s="3">
        <f>VLOOKUP(A276,'13-Michelle'!$A$1:$H$35,8,FALSE)</f>
        <v>0</v>
      </c>
    </row>
    <row r="277" spans="1:10" x14ac:dyDescent="0.35">
      <c r="A277" s="4" t="s">
        <v>544</v>
      </c>
      <c r="B277" s="4" t="s">
        <v>536</v>
      </c>
      <c r="C277" t="s">
        <v>239</v>
      </c>
      <c r="D277" s="3">
        <f>_xlfn.XLOOKUP(C277,'Territory List'!$D$2:$D$352,'Territory List'!$G$2:$G$352)</f>
        <v>13</v>
      </c>
      <c r="E277" s="10">
        <f>VLOOKUP(A277,'13-Michelle'!$A$2:$F$19,3,FALSE)</f>
        <v>46182</v>
      </c>
      <c r="F277" s="10">
        <f>VLOOKUP(A277,'13-Michelle'!$A$1:$H$35,7,FALSE)</f>
        <v>0</v>
      </c>
      <c r="G277" s="3" t="str">
        <f>VLOOKUP(A277,'13-Michelle'!$A$2:$F$19,4,FALSE)</f>
        <v>-</v>
      </c>
      <c r="H277" s="3">
        <f>VLOOKUP(A277,'13-Michelle'!$A$2:$F$19,5,FALSE)</f>
        <v>13</v>
      </c>
      <c r="I277" s="3" t="str">
        <f>VLOOKUP(A277,'13-Michelle'!$A$2:$F$19,6,FALSE)</f>
        <v>2 advisors?</v>
      </c>
      <c r="J277" s="3">
        <f>VLOOKUP(A277,'13-Michelle'!$A$1:$H$35,8,FALSE)</f>
        <v>0</v>
      </c>
    </row>
    <row r="278" spans="1:10" x14ac:dyDescent="0.35">
      <c r="A278" s="4" t="s">
        <v>540</v>
      </c>
      <c r="B278" s="4" t="s">
        <v>541</v>
      </c>
      <c r="C278" t="s">
        <v>240</v>
      </c>
      <c r="D278" s="3">
        <f>_xlfn.XLOOKUP(C278,'Territory List'!$D$2:$D$352,'Territory List'!$G$2:$G$352)</f>
        <v>13</v>
      </c>
      <c r="E278" s="10" t="str">
        <f>VLOOKUP(A278,'13-Michelle'!$A$2:$F$19,3,FALSE)</f>
        <v>4/28 @ 9:30</v>
      </c>
      <c r="F278" s="10" t="str">
        <f>VLOOKUP(A278,'13-Michelle'!$A$1:$H$35,7,FALSE)</f>
        <v>does not want to meet</v>
      </c>
      <c r="G278" s="3" t="str">
        <f>VLOOKUP(A278,'13-Michelle'!$A$2:$F$19,4,FALSE)</f>
        <v>does not want to meet right now since met in April; send annual pdf</v>
      </c>
      <c r="H278" s="3">
        <f>VLOOKUP(A278,'13-Michelle'!$A$2:$F$19,5,FALSE)</f>
        <v>3</v>
      </c>
      <c r="I278" s="3">
        <f>VLOOKUP(A278,'13-Michelle'!$A$2:$F$19,6,FALSE)</f>
        <v>0</v>
      </c>
      <c r="J278" s="3">
        <f>VLOOKUP(A278,'13-Michelle'!$A$1:$H$35,8,FALSE)</f>
        <v>0</v>
      </c>
    </row>
    <row r="279" spans="1:10" x14ac:dyDescent="0.35">
      <c r="A279" s="4" t="s">
        <v>535</v>
      </c>
      <c r="B279" s="4" t="s">
        <v>536</v>
      </c>
      <c r="C279" t="s">
        <v>239</v>
      </c>
      <c r="D279" s="3">
        <f>_xlfn.XLOOKUP(C279,'Territory List'!$D$2:$D$352,'Territory List'!$G$2:$G$352)</f>
        <v>13</v>
      </c>
      <c r="E279" s="10">
        <f>VLOOKUP(A279,'13-Michelle'!$A$2:$F$19,3,FALSE)</f>
        <v>46112</v>
      </c>
      <c r="F279" s="10">
        <v>46112</v>
      </c>
      <c r="G279" s="3" t="s">
        <v>1054</v>
      </c>
      <c r="H279" s="3">
        <f>VLOOKUP(A279,'13-Michelle'!$A$2:$F$19,5,FALSE)</f>
        <v>3</v>
      </c>
      <c r="I279" s="3" t="str">
        <f>VLOOKUP(A279,'13-Michelle'!$A$2:$F$19,6,FALSE)</f>
        <v>-</v>
      </c>
      <c r="J279" s="3">
        <f>VLOOKUP(A279,'13-Michelle'!$A$1:$H$35,8,FALSE)</f>
        <v>0</v>
      </c>
    </row>
    <row r="280" spans="1:10" x14ac:dyDescent="0.35">
      <c r="A280" s="4" t="s">
        <v>509</v>
      </c>
      <c r="B280" s="4" t="s">
        <v>881</v>
      </c>
      <c r="C280" t="s">
        <v>266</v>
      </c>
      <c r="D280" s="3">
        <f>_xlfn.XLOOKUP(C280,'Territory List'!$D$2:$D$352,'Territory List'!$G$2:$G$352)</f>
        <v>13</v>
      </c>
      <c r="E280" s="10">
        <f>VLOOKUP(A280,'13-Michelle'!$A$2:$F$19,3,FALSE)</f>
        <v>46125</v>
      </c>
      <c r="F280" s="10">
        <f>VLOOKUP(A280,'13-Michelle'!$A$1:$H$35,7,FALSE)</f>
        <v>0</v>
      </c>
      <c r="G280" s="3" t="str">
        <f>VLOOKUP(A280,'13-Michelle'!$A$2:$F$19,4,FALSE)</f>
        <v>-</v>
      </c>
      <c r="H280" s="3">
        <f>VLOOKUP(A280,'13-Michelle'!$A$2:$F$19,5,FALSE)</f>
        <v>3</v>
      </c>
      <c r="I280" s="3" t="str">
        <f>VLOOKUP(A280,'13-Michelle'!$A$2:$F$19,6,FALSE)</f>
        <v>-</v>
      </c>
      <c r="J280" s="3">
        <f>VLOOKUP(A280,'13-Michelle'!$A$1:$H$35,8,FALSE)</f>
        <v>0</v>
      </c>
    </row>
    <row r="281" spans="1:10" x14ac:dyDescent="0.35">
      <c r="A281" s="4" t="s">
        <v>473</v>
      </c>
      <c r="B281" s="4" t="s">
        <v>474</v>
      </c>
      <c r="C281" t="s">
        <v>233</v>
      </c>
      <c r="D281" s="3">
        <f>_xlfn.XLOOKUP(C281,'Territory List'!$D$2:$D$352,'Territory List'!$G$2:$G$352)</f>
        <v>13</v>
      </c>
      <c r="E281" s="10" t="str">
        <f>VLOOKUP(A281,'13-Michelle'!$A$2:$F$19,3,FALSE)</f>
        <v>5/1 @9am</v>
      </c>
      <c r="F281" s="10">
        <f>VLOOKUP(A281,'13-Michelle'!$A$1:$H$35,7,FALSE)</f>
        <v>0</v>
      </c>
      <c r="G281" s="3" t="str">
        <f>VLOOKUP(A281,'13-Michelle'!$A$2:$F$19,4,FALSE)</f>
        <v>-</v>
      </c>
      <c r="H281" s="3">
        <f>VLOOKUP(A281,'13-Michelle'!$A$2:$F$19,5,FALSE)</f>
        <v>3</v>
      </c>
      <c r="I281" s="3" t="str">
        <f>VLOOKUP(A281,'13-Michelle'!$A$2:$F$19,6,FALSE)</f>
        <v>Kathleen</v>
      </c>
      <c r="J281" s="3">
        <f>VLOOKUP(A281,'13-Michelle'!$A$1:$H$35,8,FALSE)</f>
        <v>0</v>
      </c>
    </row>
    <row r="282" spans="1:10" x14ac:dyDescent="0.35">
      <c r="A282" s="4" t="s">
        <v>448</v>
      </c>
      <c r="B282" s="4" t="s">
        <v>449</v>
      </c>
      <c r="C282" t="s">
        <v>247</v>
      </c>
      <c r="D282" s="3">
        <f>_xlfn.XLOOKUP(C282,'Territory List'!$D$2:$D$352,'Territory List'!$G$2:$G$352)</f>
        <v>13</v>
      </c>
      <c r="E282" s="10" t="str">
        <f>VLOOKUP(A282,'13-Michelle'!$A$2:$F$19,3,FALSE)</f>
        <v>-</v>
      </c>
      <c r="F282" s="10">
        <v>46072</v>
      </c>
      <c r="G282" s="3" t="str">
        <f>VLOOKUP(A282,'13-Michelle'!$A$2:$F$19,4,FALSE)</f>
        <v>-</v>
      </c>
      <c r="H282" s="3">
        <f>VLOOKUP(A282,'13-Michelle'!$A$2:$F$19,5,FALSE)</f>
        <v>12</v>
      </c>
      <c r="I282" s="3" t="str">
        <f>VLOOKUP(A282,'13-Michelle'!$A$2:$F$19,6,FALSE)</f>
        <v>-</v>
      </c>
      <c r="J282" s="3">
        <f>VLOOKUP(A282,'13-Michelle'!$A$1:$H$35,8,FALSE)</f>
        <v>0</v>
      </c>
    </row>
    <row r="283" spans="1:10" x14ac:dyDescent="0.35">
      <c r="A283" s="4" t="s">
        <v>442</v>
      </c>
      <c r="B283" s="4" t="s">
        <v>443</v>
      </c>
      <c r="C283" t="s">
        <v>232</v>
      </c>
      <c r="D283" s="3">
        <f>_xlfn.XLOOKUP(C283,'Territory List'!$D$2:$D$352,'Territory List'!$G$2:$G$352)</f>
        <v>13</v>
      </c>
      <c r="E283" s="10">
        <f>VLOOKUP(A283,'13-Michelle'!$A$2:$F$19,3,FALSE)</f>
        <v>46112</v>
      </c>
      <c r="F283" s="10" t="str">
        <f>VLOOKUP(A283,'13-Michelle'!$A$1:$H$35,7,FALSE)</f>
        <v>8/26 @9:30am</v>
      </c>
      <c r="G283" s="3" t="str">
        <f>VLOOKUP(A283,'13-Michelle'!$A$2:$F$19,4,FALSE)</f>
        <v>-</v>
      </c>
      <c r="H283" s="3">
        <f>VLOOKUP(A283,'13-Michelle'!$A$2:$F$19,5,FALSE)</f>
        <v>3</v>
      </c>
      <c r="I283" s="3" t="str">
        <f>VLOOKUP(A283,'13-Michelle'!$A$2:$F$19,6,FALSE)</f>
        <v>-</v>
      </c>
      <c r="J283" s="3">
        <f>VLOOKUP(A283,'13-Michelle'!$A$1:$H$35,8,FALSE)</f>
        <v>0</v>
      </c>
    </row>
    <row r="284" spans="1:10" x14ac:dyDescent="0.35">
      <c r="A284" s="4" t="s">
        <v>393</v>
      </c>
      <c r="B284" s="4" t="s">
        <v>394</v>
      </c>
      <c r="C284" t="s">
        <v>229</v>
      </c>
      <c r="D284" s="3">
        <f>_xlfn.XLOOKUP(C284,'Territory List'!$D$2:$D$352,'Territory List'!$G$2:$G$352)</f>
        <v>13</v>
      </c>
      <c r="E284" s="10">
        <f>VLOOKUP(A284,'13-Michelle'!$A$2:$F$19,3,FALSE)</f>
        <v>46112</v>
      </c>
      <c r="F284" s="10" t="str">
        <f>VLOOKUP(A284,'13-Michelle'!$A$1:$H$35,7,FALSE)</f>
        <v>8/25 @ 9am</v>
      </c>
      <c r="G284" s="3" t="str">
        <f>VLOOKUP(A284,'13-Michelle'!$A$2:$F$19,4,FALSE)</f>
        <v>-</v>
      </c>
      <c r="H284" s="3">
        <f>VLOOKUP(A284,'13-Michelle'!$A$2:$F$19,5,FALSE)</f>
        <v>3</v>
      </c>
      <c r="I284" s="3" t="str">
        <f>VLOOKUP(A284,'13-Michelle'!$A$2:$F$19,6,FALSE)</f>
        <v>-</v>
      </c>
      <c r="J284" s="3">
        <f>VLOOKUP(A284,'13-Michelle'!$A$1:$H$35,8,FALSE)</f>
        <v>0</v>
      </c>
    </row>
    <row r="285" spans="1:10" x14ac:dyDescent="0.35">
      <c r="A285" s="4" t="s">
        <v>905</v>
      </c>
      <c r="B285" s="4" t="s">
        <v>906</v>
      </c>
      <c r="C285" t="s">
        <v>267</v>
      </c>
      <c r="D285" s="3">
        <f>_xlfn.XLOOKUP(C285,'Territory List'!$D$2:$D$352,'Territory List'!$G$2:$G$352)</f>
        <v>14</v>
      </c>
      <c r="E285" s="10" t="str">
        <f>VLOOKUP(A285,'14-Michelle'!$A$2:$F$24,3,FALSE)</f>
        <v>4/16 @ 9am</v>
      </c>
      <c r="F285" s="10">
        <f>VLOOKUP(A285,'14-Michelle'!$A$1:$H$38,7,FALSE)</f>
        <v>0</v>
      </c>
      <c r="G285" s="3" t="str">
        <f>VLOOKUP(A285,'14-Michelle'!$A$2:$F$24,4,FALSE)</f>
        <v>-</v>
      </c>
      <c r="H285" s="3">
        <f>VLOOKUP(A285,'14-Michelle'!$A$2:$F$24,5,FALSE)</f>
        <v>3</v>
      </c>
      <c r="I285" s="3" t="str">
        <f>VLOOKUP(A285,'14-Michelle'!$A$2:$F$24,6,FALSE)</f>
        <v>-</v>
      </c>
      <c r="J285" s="3">
        <f>VLOOKUP(A285,'14-Michelle'!$A$1:$H$38,8,FALSE)</f>
        <v>0</v>
      </c>
    </row>
    <row r="286" spans="1:10" x14ac:dyDescent="0.35">
      <c r="A286" s="4" t="s">
        <v>859</v>
      </c>
      <c r="B286" s="4" t="s">
        <v>860</v>
      </c>
      <c r="C286" t="s">
        <v>265</v>
      </c>
      <c r="D286" s="3">
        <f>_xlfn.XLOOKUP(C286,'Territory List'!$D$2:$D$352,'Territory List'!$G$2:$G$352)</f>
        <v>14</v>
      </c>
      <c r="E286" s="10" t="str">
        <f>VLOOKUP(A286,'14-Michelle'!$A$2:$F$24,3,FALSE)</f>
        <v>5/14  @ 3pm</v>
      </c>
      <c r="F286" s="10" t="str">
        <f>VLOOKUP(A286,'14-Michelle'!$A$1:$H$38,7,FALSE)</f>
        <v>9/23 @ 2pm</v>
      </c>
      <c r="G286" s="3" t="str">
        <f>VLOOKUP(A286,'14-Michelle'!$A$2:$F$24,4,FALSE)</f>
        <v>I sent one click w/comments at her request</v>
      </c>
      <c r="H286" s="3">
        <f>VLOOKUP(A286,'14-Michelle'!$A$2:$F$24,5,FALSE)</f>
        <v>3</v>
      </c>
      <c r="I286" s="3" t="str">
        <f>VLOOKUP(A286,'14-Michelle'!$A$2:$F$24,6,FALSE)</f>
        <v>-</v>
      </c>
      <c r="J286" s="3">
        <f>VLOOKUP(A286,'14-Michelle'!$A$1:$H$38,8,FALSE)</f>
        <v>0</v>
      </c>
    </row>
    <row r="287" spans="1:10" x14ac:dyDescent="0.35">
      <c r="A287" s="4" t="s">
        <v>857</v>
      </c>
      <c r="B287" s="4" t="s">
        <v>858</v>
      </c>
      <c r="C287" t="s">
        <v>264</v>
      </c>
      <c r="D287" s="3">
        <f>_xlfn.XLOOKUP(C287,'Territory List'!$D$2:$D$352,'Territory List'!$G$2:$G$352)</f>
        <v>14</v>
      </c>
      <c r="E287" s="10" t="str">
        <f>VLOOKUP(A287,'14-Michelle'!$A$2:$F$24,3,FALSE)</f>
        <v>4/16 @2pm</v>
      </c>
      <c r="F287" s="10" t="str">
        <f>VLOOKUP(A287,'14-Michelle'!$A$1:$H$38,7,FALSE)</f>
        <v>does not want to meet</v>
      </c>
      <c r="G287" s="3" t="str">
        <f>VLOOKUP(A287,'14-Michelle'!$A$2:$F$24,4,FALSE)</f>
        <v>New GF account - does not want to meet. Send annual pdf</v>
      </c>
      <c r="H287" s="3" t="str">
        <f>VLOOKUP(A287,'14-Michelle'!$A$2:$F$24,5,FALSE)</f>
        <v>-</v>
      </c>
      <c r="I287" s="3" t="str">
        <f>VLOOKUP(A287,'14-Michelle'!$A$2:$F$24,6,FALSE)</f>
        <v>-</v>
      </c>
      <c r="J287" s="3">
        <f>VLOOKUP(A287,'14-Michelle'!$A$1:$H$38,8,FALSE)</f>
        <v>0</v>
      </c>
    </row>
    <row r="288" spans="1:10" x14ac:dyDescent="0.35">
      <c r="A288" s="4" t="s">
        <v>815</v>
      </c>
      <c r="B288" s="4" t="s">
        <v>814</v>
      </c>
      <c r="C288" t="s">
        <v>262</v>
      </c>
      <c r="D288" s="3">
        <f>_xlfn.XLOOKUP(C288,'Territory List'!$D$2:$D$352,'Territory List'!$G$2:$G$352)</f>
        <v>14</v>
      </c>
      <c r="E288" s="10" t="str">
        <f>VLOOKUP(A288,'14-Michelle'!$A$2:$F$24,3,FALSE)</f>
        <v>-</v>
      </c>
      <c r="F288" s="10">
        <f>VLOOKUP(A288,'14-Michelle'!$A$1:$H$38,7,FALSE)</f>
        <v>0</v>
      </c>
      <c r="G288" s="3" t="str">
        <f>VLOOKUP(A288,'14-Michelle'!$A$2:$F$24,4,FALSE)</f>
        <v>-</v>
      </c>
      <c r="H288" s="3" t="str">
        <f>VLOOKUP(A288,'14-Michelle'!$A$2:$F$24,5,FALSE)</f>
        <v>-</v>
      </c>
      <c r="I288" s="3" t="str">
        <f>VLOOKUP(A288,'14-Michelle'!$A$2:$F$24,6,FALSE)</f>
        <v>-</v>
      </c>
      <c r="J288" s="3">
        <f>VLOOKUP(A288,'14-Michelle'!$A$1:$H$38,8,FALSE)</f>
        <v>0</v>
      </c>
    </row>
    <row r="289" spans="1:10" x14ac:dyDescent="0.35">
      <c r="A289" s="4" t="s">
        <v>813</v>
      </c>
      <c r="B289" s="4" t="s">
        <v>814</v>
      </c>
      <c r="C289" t="s">
        <v>262</v>
      </c>
      <c r="D289" s="3">
        <f>_xlfn.XLOOKUP(C289,'Territory List'!$D$2:$D$352,'Territory List'!$G$2:$G$352)</f>
        <v>14</v>
      </c>
      <c r="E289" s="10" t="str">
        <f>VLOOKUP(A289,'14-Michelle'!$A$2:$F$24,3,FALSE)</f>
        <v>-</v>
      </c>
      <c r="F289" s="10">
        <f>VLOOKUP(A289,'14-Michelle'!$A$1:$H$38,7,FALSE)</f>
        <v>0</v>
      </c>
      <c r="G289" s="3" t="str">
        <f>VLOOKUP(A289,'14-Michelle'!$A$2:$F$24,4,FALSE)</f>
        <v>-</v>
      </c>
      <c r="H289" s="3">
        <f>VLOOKUP(A289,'14-Michelle'!$A$2:$F$24,5,FALSE)</f>
        <v>3</v>
      </c>
      <c r="I289" s="3" t="str">
        <f>VLOOKUP(A289,'14-Michelle'!$A$2:$F$24,6,FALSE)</f>
        <v>-</v>
      </c>
      <c r="J289" s="3">
        <f>VLOOKUP(A289,'14-Michelle'!$A$1:$H$38,8,FALSE)</f>
        <v>0</v>
      </c>
    </row>
    <row r="290" spans="1:10" x14ac:dyDescent="0.35">
      <c r="A290" s="4" t="s">
        <v>799</v>
      </c>
      <c r="B290" s="4" t="s">
        <v>798</v>
      </c>
      <c r="C290" t="s">
        <v>260</v>
      </c>
      <c r="D290" s="3">
        <f>_xlfn.XLOOKUP(C290,'Territory List'!$D$2:$D$352,'Territory List'!$G$2:$G$352)</f>
        <v>14</v>
      </c>
      <c r="E290" s="10">
        <f>VLOOKUP(A290,'14-Michelle'!$A$2:$F$24,3,FALSE)</f>
        <v>46128</v>
      </c>
      <c r="F290" s="10">
        <f>VLOOKUP(A290,'14-Michelle'!$A$1:$H$38,7,FALSE)</f>
        <v>0</v>
      </c>
      <c r="G290" s="3" t="str">
        <f>VLOOKUP(A290,'14-Michelle'!$A$2:$F$24,4,FALSE)</f>
        <v>-</v>
      </c>
      <c r="H290" s="3">
        <f>VLOOKUP(A290,'14-Michelle'!$A$2:$F$24,5,FALSE)</f>
        <v>3</v>
      </c>
      <c r="I290" s="3" t="str">
        <f>VLOOKUP(A290,'14-Michelle'!$A$2:$F$24,6,FALSE)</f>
        <v>-</v>
      </c>
      <c r="J290" s="3">
        <f>VLOOKUP(A290,'14-Michelle'!$A$1:$H$38,8,FALSE)</f>
        <v>0</v>
      </c>
    </row>
    <row r="291" spans="1:10" x14ac:dyDescent="0.35">
      <c r="A291" s="4" t="s">
        <v>797</v>
      </c>
      <c r="B291" s="4" t="s">
        <v>798</v>
      </c>
      <c r="C291" t="s">
        <v>260</v>
      </c>
      <c r="D291" s="3">
        <f>_xlfn.XLOOKUP(C291,'Territory List'!$D$2:$D$352,'Territory List'!$G$2:$G$352)</f>
        <v>14</v>
      </c>
      <c r="E291" s="10" t="str">
        <f>VLOOKUP(A291,'14-Michelle'!$A$2:$F$24,3,FALSE)</f>
        <v>-</v>
      </c>
      <c r="F291" s="10">
        <f>VLOOKUP(A291,'14-Michelle'!$A$1:$H$38,7,FALSE)</f>
        <v>0</v>
      </c>
      <c r="G291" s="3" t="str">
        <f>VLOOKUP(A291,'14-Michelle'!$A$2:$F$24,4,FALSE)</f>
        <v>committee</v>
      </c>
      <c r="H291" s="3" t="str">
        <f>VLOOKUP(A291,'14-Michelle'!$A$2:$F$24,5,FALSE)</f>
        <v>-</v>
      </c>
      <c r="I291" s="3" t="str">
        <f>VLOOKUP(A291,'14-Michelle'!$A$2:$F$24,6,FALSE)</f>
        <v>-</v>
      </c>
      <c r="J291" s="3">
        <f>VLOOKUP(A291,'14-Michelle'!$A$1:$H$38,8,FALSE)</f>
        <v>0</v>
      </c>
    </row>
    <row r="292" spans="1:10" x14ac:dyDescent="0.35">
      <c r="A292" s="4" t="s">
        <v>774</v>
      </c>
      <c r="B292" s="4" t="s">
        <v>775</v>
      </c>
      <c r="C292" t="s">
        <v>257</v>
      </c>
      <c r="D292" s="3">
        <f>_xlfn.XLOOKUP(C292,'Territory List'!$D$2:$D$352,'Territory List'!$G$2:$G$352)</f>
        <v>14</v>
      </c>
      <c r="E292" s="10" t="str">
        <f>VLOOKUP(A292,'14-Michelle'!$A$2:$F$24,3,FALSE)</f>
        <v>4/21 @ 12pm</v>
      </c>
      <c r="F292" s="10">
        <f>VLOOKUP(A292,'14-Michelle'!$A$1:$H$38,7,FALSE)</f>
        <v>0</v>
      </c>
      <c r="G292" s="3" t="str">
        <f>VLOOKUP(A292,'14-Michelle'!$A$2:$F$24,4,FALSE)</f>
        <v>-</v>
      </c>
      <c r="H292" s="3">
        <f>VLOOKUP(A292,'14-Michelle'!$A$2:$F$24,5,FALSE)</f>
        <v>3</v>
      </c>
      <c r="I292" s="3" t="str">
        <f>VLOOKUP(A292,'14-Michelle'!$A$2:$F$24,6,FALSE)</f>
        <v>-</v>
      </c>
      <c r="J292" s="3">
        <f>VLOOKUP(A292,'14-Michelle'!$A$1:$H$38,8,FALSE)</f>
        <v>0</v>
      </c>
    </row>
    <row r="293" spans="1:10" x14ac:dyDescent="0.35">
      <c r="A293" s="4" t="s">
        <v>772</v>
      </c>
      <c r="B293" s="4" t="s">
        <v>773</v>
      </c>
      <c r="C293" t="s">
        <v>256</v>
      </c>
      <c r="D293" s="3">
        <f>_xlfn.XLOOKUP(C293,'Territory List'!$D$2:$D$352,'Territory List'!$G$2:$G$352)</f>
        <v>14</v>
      </c>
      <c r="E293" s="10" t="str">
        <f>VLOOKUP(A293,'14-Michelle'!$A$2:$F$24,3,FALSE)</f>
        <v>5/14 @ 1:30</v>
      </c>
      <c r="F293" s="10" t="str">
        <f>VLOOKUP(A293,'14-Michelle'!$A$1:$H$38,7,FALSE)</f>
        <v>9/23 @ 9:30am</v>
      </c>
      <c r="G293" s="3" t="str">
        <f>VLOOKUP(A293,'14-Michelle'!$A$2:$F$24,4,FALSE)</f>
        <v>-</v>
      </c>
      <c r="H293" s="3">
        <f>VLOOKUP(A293,'14-Michelle'!$A$2:$F$24,5,FALSE)</f>
        <v>3</v>
      </c>
      <c r="I293" s="3" t="str">
        <f>VLOOKUP(A293,'14-Michelle'!$A$2:$F$24,6,FALSE)</f>
        <v>-</v>
      </c>
      <c r="J293" s="3">
        <f>VLOOKUP(A293,'14-Michelle'!$A$1:$H$38,8,FALSE)</f>
        <v>0</v>
      </c>
    </row>
    <row r="294" spans="1:10" x14ac:dyDescent="0.35">
      <c r="A294" s="4" t="s">
        <v>757</v>
      </c>
      <c r="B294" s="4" t="s">
        <v>758</v>
      </c>
      <c r="C294" t="s">
        <v>254</v>
      </c>
      <c r="D294" s="3">
        <f>_xlfn.XLOOKUP(C294,'Territory List'!$D$2:$D$352,'Territory List'!$G$2:$G$352)</f>
        <v>14</v>
      </c>
      <c r="E294" s="10" t="str">
        <f>VLOOKUP(A294,'14-Michelle'!$A$2:$F$24,3,FALSE)</f>
        <v>4/27 @ 9am</v>
      </c>
      <c r="F294" s="10">
        <f>VLOOKUP(A294,'14-Michelle'!$A$1:$H$38,7,FALSE)</f>
        <v>0</v>
      </c>
      <c r="G294" s="3" t="str">
        <f>VLOOKUP(A294,'14-Michelle'!$A$2:$F$24,4,FALSE)</f>
        <v xml:space="preserve">does not want to meet; send annual </v>
      </c>
      <c r="H294" s="3">
        <f>VLOOKUP(A294,'14-Michelle'!$A$2:$F$24,5,FALSE)</f>
        <v>3</v>
      </c>
      <c r="I294" s="3" t="str">
        <f>VLOOKUP(A294,'14-Michelle'!$A$2:$F$24,6,FALSE)</f>
        <v>-</v>
      </c>
      <c r="J294" s="3">
        <f>VLOOKUP(A294,'14-Michelle'!$A$1:$H$38,8,FALSE)</f>
        <v>0</v>
      </c>
    </row>
    <row r="295" spans="1:10" x14ac:dyDescent="0.35">
      <c r="A295" s="4" t="s">
        <v>723</v>
      </c>
      <c r="B295" s="4" t="s">
        <v>724</v>
      </c>
      <c r="C295" t="s">
        <v>252</v>
      </c>
      <c r="D295" s="3">
        <f>_xlfn.XLOOKUP(C295,'Territory List'!$D$2:$D$352,'Territory List'!$G$2:$G$352)</f>
        <v>14</v>
      </c>
      <c r="E295" s="10" t="str">
        <f>VLOOKUP(A295,'14-Michelle'!$A$2:$F$24,3,FALSE)</f>
        <v>4/30 @ 5pm</v>
      </c>
      <c r="F295" s="10" t="str">
        <f>VLOOKUP(A295,'14-Michelle'!$A$1:$H$38,7,FALSE)</f>
        <v>9/22 @ 12:30</v>
      </c>
      <c r="G295" s="3" t="str">
        <f>VLOOKUP(A295,'14-Michelle'!$A$2:$F$24,4,FALSE)</f>
        <v>treasurer alone/committee 3-4x yr</v>
      </c>
      <c r="H295" s="3">
        <f>VLOOKUP(A295,'14-Michelle'!$A$2:$F$24,5,FALSE)</f>
        <v>2</v>
      </c>
      <c r="I295" s="3" t="str">
        <f>VLOOKUP(A295,'14-Michelle'!$A$2:$F$24,6,FALSE)</f>
        <v>-</v>
      </c>
      <c r="J295" s="3">
        <f>VLOOKUP(A295,'14-Michelle'!$A$1:$H$38,8,FALSE)</f>
        <v>0</v>
      </c>
    </row>
    <row r="296" spans="1:10" x14ac:dyDescent="0.35">
      <c r="A296" s="4" t="s">
        <v>711</v>
      </c>
      <c r="B296" s="4" t="s">
        <v>936</v>
      </c>
      <c r="C296" t="s">
        <v>251</v>
      </c>
      <c r="D296" s="3">
        <f>_xlfn.XLOOKUP(C296,'Territory List'!$D$2:$D$352,'Territory List'!$G$2:$G$352)</f>
        <v>14</v>
      </c>
      <c r="E296" s="10" t="str">
        <f>VLOOKUP(A296,'14-Michelle'!$A$2:$F$24,3,FALSE)</f>
        <v>-</v>
      </c>
      <c r="F296" s="10">
        <v>46036</v>
      </c>
      <c r="G296" s="3" t="str">
        <f>VLOOKUP(A296,'14-Michelle'!$A$2:$F$24,4,FALSE)</f>
        <v>-</v>
      </c>
      <c r="H296" s="3">
        <f>VLOOKUP(A296,'14-Michelle'!$A$2:$F$24,5,FALSE)</f>
        <v>3</v>
      </c>
      <c r="I296" s="3" t="str">
        <f>VLOOKUP(A296,'14-Michelle'!$A$2:$F$24,6,FALSE)</f>
        <v>-</v>
      </c>
      <c r="J296" s="3">
        <f>VLOOKUP(A296,'14-Michelle'!$A$1:$H$38,8,FALSE)</f>
        <v>0</v>
      </c>
    </row>
    <row r="297" spans="1:10" x14ac:dyDescent="0.35">
      <c r="A297" s="4" t="s">
        <v>701</v>
      </c>
      <c r="B297" s="4" t="s">
        <v>563</v>
      </c>
      <c r="C297" t="s">
        <v>249</v>
      </c>
      <c r="D297" s="3">
        <f>_xlfn.XLOOKUP(C297,'Territory List'!$D$2:$D$352,'Territory List'!$G$2:$G$352)</f>
        <v>14</v>
      </c>
      <c r="E297" s="10" t="str">
        <f>VLOOKUP(A297,'14-Michelle'!$A$2:$F$24,3,FALSE)</f>
        <v>4/30 @ 10:30</v>
      </c>
      <c r="F297" s="10">
        <f>VLOOKUP(A297,'14-Michelle'!$A$1:$H$38,7,FALSE)</f>
        <v>0</v>
      </c>
      <c r="G297" s="3" t="str">
        <f>VLOOKUP(A297,'14-Michelle'!$A$2:$F$24,4,FALSE)</f>
        <v>-</v>
      </c>
      <c r="H297" s="3">
        <f>VLOOKUP(A297,'14-Michelle'!$A$2:$F$24,5,FALSE)</f>
        <v>3</v>
      </c>
      <c r="I297" s="3" t="str">
        <f>VLOOKUP(A297,'14-Michelle'!$A$2:$F$24,6,FALSE)</f>
        <v>2 advisors</v>
      </c>
      <c r="J297" s="3">
        <f>VLOOKUP(A297,'14-Michelle'!$A$1:$H$38,8,FALSE)</f>
        <v>0</v>
      </c>
    </row>
    <row r="298" spans="1:10" x14ac:dyDescent="0.35">
      <c r="A298" s="4" t="s">
        <v>645</v>
      </c>
      <c r="B298" s="4" t="s">
        <v>646</v>
      </c>
      <c r="C298" t="s">
        <v>245</v>
      </c>
      <c r="D298" s="3">
        <f>_xlfn.XLOOKUP(C298,'Territory List'!$D$2:$D$352,'Territory List'!$G$2:$G$352)</f>
        <v>14</v>
      </c>
      <c r="E298" s="10" t="str">
        <f>VLOOKUP(A298,'14-Michelle'!$A$2:$F$24,3,FALSE)</f>
        <v>4/27 @ 10:30</v>
      </c>
      <c r="F298" s="10" t="str">
        <f>VLOOKUP(A298,'14-Michelle'!$A$1:$H$38,7,FALSE)</f>
        <v>9/22 @ 11am</v>
      </c>
      <c r="G298" s="3" t="str">
        <f>VLOOKUP(A298,'14-Michelle'!$A$2:$F$24,4,FALSE)</f>
        <v>-</v>
      </c>
      <c r="H298" s="3">
        <f>VLOOKUP(A298,'14-Michelle'!$A$2:$F$24,5,FALSE)</f>
        <v>3</v>
      </c>
      <c r="I298" s="3" t="str">
        <f>VLOOKUP(A298,'14-Michelle'!$A$2:$F$24,6,FALSE)</f>
        <v>-</v>
      </c>
      <c r="J298" s="3">
        <f>VLOOKUP(A298,'14-Michelle'!$A$1:$H$38,8,FALSE)</f>
        <v>0</v>
      </c>
    </row>
    <row r="299" spans="1:10" x14ac:dyDescent="0.35">
      <c r="A299" s="4" t="s">
        <v>562</v>
      </c>
      <c r="B299" s="4" t="s">
        <v>563</v>
      </c>
      <c r="C299" t="s">
        <v>249</v>
      </c>
      <c r="D299" s="3">
        <f>_xlfn.XLOOKUP(C299,'Territory List'!$D$2:$D$352,'Territory List'!$G$2:$G$352)</f>
        <v>14</v>
      </c>
      <c r="E299" s="10" t="str">
        <f>VLOOKUP(A299,'14-Michelle'!$A$2:$F$24,3,FALSE)</f>
        <v>4/22 @ 3pm (Teams)</v>
      </c>
      <c r="F299" s="10">
        <f>VLOOKUP(A299,'14-Michelle'!$A$1:$H$38,7,FALSE)</f>
        <v>0</v>
      </c>
      <c r="G299" s="3" t="str">
        <f>VLOOKUP(A299,'14-Michelle'!$A$2:$F$24,4,FALSE)</f>
        <v>NEW TREASURER</v>
      </c>
      <c r="H299" s="3" t="str">
        <f>VLOOKUP(A299,'14-Michelle'!$A$2:$F$24,5,FALSE)</f>
        <v>-</v>
      </c>
      <c r="I299" s="3" t="str">
        <f>VLOOKUP(A299,'14-Michelle'!$A$2:$F$24,6,FALSE)</f>
        <v>-</v>
      </c>
      <c r="J299" s="3">
        <f>VLOOKUP(A299,'14-Michelle'!$A$1:$H$38,8,FALSE)</f>
        <v>0</v>
      </c>
    </row>
    <row r="300" spans="1:10" x14ac:dyDescent="0.35">
      <c r="A300" s="4" t="s">
        <v>542</v>
      </c>
      <c r="B300" s="4" t="s">
        <v>959</v>
      </c>
      <c r="C300" t="s">
        <v>241</v>
      </c>
      <c r="D300" s="3">
        <f>_xlfn.XLOOKUP(C300,'Territory List'!$D$2:$D$352,'Territory List'!$G$2:$G$352)</f>
        <v>14</v>
      </c>
      <c r="E300" s="10" t="str">
        <f>VLOOKUP(A300,'14-Michelle'!$A$2:$F$24,3,FALSE)</f>
        <v>4/30 @1pm</v>
      </c>
      <c r="F300" s="10">
        <f>VLOOKUP(A300,'14-Michelle'!$A$1:$H$38,7,FALSE)</f>
        <v>0</v>
      </c>
      <c r="G300" s="3" t="str">
        <f>VLOOKUP(A300,'14-Michelle'!$A$2:$F$24,4,FALSE)</f>
        <v>$8 million stab funds at bank/MMDT?</v>
      </c>
      <c r="H300" s="3">
        <f>VLOOKUP(A300,'14-Michelle'!$A$2:$F$24,5,FALSE)</f>
        <v>3</v>
      </c>
      <c r="I300" s="3" t="str">
        <f>VLOOKUP(A300,'14-Michelle'!$A$2:$F$24,6,FALSE)</f>
        <v>Kathleen</v>
      </c>
      <c r="J300" s="3">
        <f>VLOOKUP(A300,'14-Michelle'!$A$1:$H$38,8,FALSE)</f>
        <v>0</v>
      </c>
    </row>
    <row r="301" spans="1:10" x14ac:dyDescent="0.35">
      <c r="A301" s="4" t="s">
        <v>521</v>
      </c>
      <c r="B301" s="4" t="s">
        <v>522</v>
      </c>
      <c r="C301" t="s">
        <v>238</v>
      </c>
      <c r="D301" s="3">
        <f>_xlfn.XLOOKUP(C301,'Territory List'!$D$2:$D$352,'Territory List'!$G$2:$G$352)</f>
        <v>14</v>
      </c>
      <c r="E301" s="10" t="str">
        <f>VLOOKUP(A301,'14-Michelle'!$A$2:$F$24,3,FALSE)</f>
        <v>4/16 @ 10:30</v>
      </c>
      <c r="F301" s="10">
        <f>VLOOKUP(A301,'14-Michelle'!$A$1:$H$38,7,FALSE)</f>
        <v>0</v>
      </c>
      <c r="G301" s="3" t="str">
        <f>VLOOKUP(A301,'14-Michelle'!$A$2:$F$24,4,FALSE)</f>
        <v>-</v>
      </c>
      <c r="H301" s="3">
        <f>VLOOKUP(A301,'14-Michelle'!$A$2:$F$24,5,FALSE)</f>
        <v>3</v>
      </c>
      <c r="I301" s="3" t="str">
        <f>VLOOKUP(A301,'14-Michelle'!$A$2:$F$24,6,FALSE)</f>
        <v>-</v>
      </c>
      <c r="J301" s="3">
        <f>VLOOKUP(A301,'14-Michelle'!$A$1:$H$38,8,FALSE)</f>
        <v>0</v>
      </c>
    </row>
    <row r="302" spans="1:10" x14ac:dyDescent="0.35">
      <c r="A302" s="4" t="s">
        <v>519</v>
      </c>
      <c r="B302" s="4" t="s">
        <v>520</v>
      </c>
      <c r="C302" t="s">
        <v>237</v>
      </c>
      <c r="D302" s="3">
        <f>_xlfn.XLOOKUP(C302,'Territory List'!$D$2:$D$352,'Territory List'!$G$2:$G$352)</f>
        <v>14</v>
      </c>
      <c r="E302" s="10" t="str">
        <f>VLOOKUP(A302,'14-Michelle'!$A$2:$F$24,3,FALSE)</f>
        <v>-</v>
      </c>
      <c r="F302" s="10">
        <f>VLOOKUP(A302,'14-Michelle'!$A$1:$H$38,7,FALSE)</f>
        <v>0</v>
      </c>
      <c r="G302" s="3" t="str">
        <f>VLOOKUP(A302,'14-Michelle'!$A$2:$F$24,4,FALSE)</f>
        <v>New Treasurer to reach out</v>
      </c>
      <c r="H302" s="3">
        <f>VLOOKUP(A302,'14-Michelle'!$A$2:$F$24,5,FALSE)</f>
        <v>3</v>
      </c>
      <c r="I302" s="3" t="str">
        <f>VLOOKUP(A302,'14-Michelle'!$A$2:$F$24,6,FALSE)</f>
        <v>-</v>
      </c>
      <c r="J302" s="3">
        <f>VLOOKUP(A302,'14-Michelle'!$A$1:$H$38,8,FALSE)</f>
        <v>0</v>
      </c>
    </row>
    <row r="303" spans="1:10" x14ac:dyDescent="0.35">
      <c r="A303" s="4" t="s">
        <v>508</v>
      </c>
      <c r="B303" s="4" t="s">
        <v>966</v>
      </c>
      <c r="C303" t="s">
        <v>236</v>
      </c>
      <c r="D303" s="3">
        <f>_xlfn.XLOOKUP(C303,'Territory List'!$D$2:$D$352,'Territory List'!$G$2:$G$352)</f>
        <v>14</v>
      </c>
      <c r="E303" s="10" t="str">
        <f>VLOOKUP(A303,'14-Michelle'!$A$2:$F$24,3,FALSE)</f>
        <v>4/27 @ 1:30pm</v>
      </c>
      <c r="F303" s="10" t="str">
        <f>VLOOKUP(A303,'14-Michelle'!$A$1:$H$38,7,FALSE)</f>
        <v>9/22 @ 9:30</v>
      </c>
      <c r="G303" s="3" t="str">
        <f>VLOOKUP(A303,'14-Michelle'!$A$2:$F$24,4,FALSE)</f>
        <v>-</v>
      </c>
      <c r="H303" s="3">
        <f>VLOOKUP(A303,'14-Michelle'!$A$2:$F$24,5,FALSE)</f>
        <v>3</v>
      </c>
      <c r="I303" s="3" t="str">
        <f>VLOOKUP(A303,'14-Michelle'!$A$2:$F$24,6,FALSE)</f>
        <v>-</v>
      </c>
      <c r="J303" s="3">
        <f>VLOOKUP(A303,'14-Michelle'!$A$1:$H$38,8,FALSE)</f>
        <v>0</v>
      </c>
    </row>
    <row r="304" spans="1:10" x14ac:dyDescent="0.35">
      <c r="A304" s="4" t="s">
        <v>490</v>
      </c>
      <c r="B304" s="4" t="s">
        <v>491</v>
      </c>
      <c r="C304" t="s">
        <v>235</v>
      </c>
      <c r="D304" s="3">
        <f>_xlfn.XLOOKUP(C304,'Territory List'!$D$2:$D$352,'Territory List'!$G$2:$G$352)</f>
        <v>14</v>
      </c>
      <c r="E304" s="10" t="str">
        <f>VLOOKUP(A304,'14-Michelle'!$A$2:$F$24,3,FALSE)</f>
        <v>4/21 @ 9am</v>
      </c>
      <c r="F304" s="10" t="str">
        <f>VLOOKUP(A304,'14-Michelle'!$A$1:$H$38,7,FALSE)</f>
        <v>9/23 @ 12:30</v>
      </c>
      <c r="G304" s="3" t="str">
        <f>VLOOKUP(A304,'14-Michelle'!$A$2:$F$24,4,FALSE)</f>
        <v>-</v>
      </c>
      <c r="H304" s="3">
        <f>VLOOKUP(A304,'14-Michelle'!$A$2:$F$24,5,FALSE)</f>
        <v>3</v>
      </c>
      <c r="I304" s="3" t="str">
        <f>VLOOKUP(A304,'14-Michelle'!$A$2:$F$24,6,FALSE)</f>
        <v>-</v>
      </c>
      <c r="J304" s="3">
        <f>VLOOKUP(A304,'14-Michelle'!$A$1:$H$38,8,FALSE)</f>
        <v>0</v>
      </c>
    </row>
    <row r="305" spans="1:10" x14ac:dyDescent="0.35">
      <c r="A305" s="4" t="s">
        <v>489</v>
      </c>
      <c r="B305" s="4" t="s">
        <v>491</v>
      </c>
      <c r="C305" t="s">
        <v>235</v>
      </c>
      <c r="D305" s="3">
        <f>_xlfn.XLOOKUP(C305,'Territory List'!$D$2:$D$352,'Territory List'!$G$2:$G$352)</f>
        <v>14</v>
      </c>
      <c r="E305" s="10" t="str">
        <f>VLOOKUP(A305,'14-Michelle'!$A$2:$F$24,3,FALSE)</f>
        <v>4/21@ 10:30am</v>
      </c>
      <c r="F305" s="10" t="str">
        <f>VLOOKUP(A305,'14-Michelle'!$A$1:$H$38,7,FALSE)</f>
        <v>10/14 @10am</v>
      </c>
      <c r="G305" s="3" t="str">
        <f>VLOOKUP(A305,'14-Michelle'!$A$2:$F$24,4,FALSE)</f>
        <v>-</v>
      </c>
      <c r="H305" s="3" t="str">
        <f>VLOOKUP(A305,'14-Michelle'!$A$2:$F$24,5,FALSE)</f>
        <v>-</v>
      </c>
      <c r="I305" s="3" t="str">
        <f>VLOOKUP(A305,'14-Michelle'!$A$2:$F$24,6,FALSE)</f>
        <v>-</v>
      </c>
      <c r="J305" s="3">
        <f>VLOOKUP(A305,'14-Michelle'!$A$1:$H$38,8,FALSE)</f>
        <v>0</v>
      </c>
    </row>
    <row r="306" spans="1:10" x14ac:dyDescent="0.35">
      <c r="A306" s="4" t="s">
        <v>485</v>
      </c>
      <c r="B306" s="4" t="s">
        <v>486</v>
      </c>
      <c r="C306" t="s">
        <v>234</v>
      </c>
      <c r="D306" s="3">
        <f>_xlfn.XLOOKUP(C306,'Territory List'!$D$2:$D$352,'Territory List'!$G$2:$G$352)</f>
        <v>14</v>
      </c>
      <c r="E306" s="10" t="str">
        <f>VLOOKUP(A306,'14-Michelle'!$A$2:$F$24,3,FALSE)</f>
        <v>-</v>
      </c>
      <c r="F306" s="10">
        <f>VLOOKUP(A306,'14-Michelle'!$A$1:$H$38,7,FALSE)</f>
        <v>0</v>
      </c>
      <c r="G306" s="3" t="str">
        <f>VLOOKUP(A306,'14-Michelle'!$A$2:$F$24,4,FALSE)</f>
        <v>Most Likely Annual</v>
      </c>
      <c r="H306" s="3">
        <f>VLOOKUP(A306,'14-Michelle'!$A$2:$F$24,5,FALSE)</f>
        <v>3</v>
      </c>
      <c r="I306" s="3" t="str">
        <f>VLOOKUP(A306,'14-Michelle'!$A$2:$F$24,6,FALSE)</f>
        <v>-</v>
      </c>
      <c r="J306" s="3">
        <f>VLOOKUP(A306,'14-Michelle'!$A$1:$H$38,8,FALSE)</f>
        <v>0</v>
      </c>
    </row>
    <row r="307" spans="1:10" x14ac:dyDescent="0.35">
      <c r="A307" s="4" t="s">
        <v>369</v>
      </c>
      <c r="B307" s="4" t="s">
        <v>370</v>
      </c>
      <c r="C307" t="s">
        <v>227</v>
      </c>
      <c r="D307" s="3">
        <f>_xlfn.XLOOKUP(C307,'Territory List'!$D$2:$D$352,'Territory List'!$G$2:$G$352)</f>
        <v>14</v>
      </c>
      <c r="E307" s="10" t="str">
        <f>VLOOKUP(A307,'14-Michelle'!$A$2:$F$24,3,FALSE)</f>
        <v>4/30 @ 9am</v>
      </c>
      <c r="F307" s="10">
        <f>VLOOKUP(A307,'14-Michelle'!$A$1:$H$38,7,FALSE)</f>
        <v>0</v>
      </c>
      <c r="G307" s="3" t="str">
        <f>VLOOKUP(A307,'14-Michelle'!$A$2:$F$24,4,FALSE)</f>
        <v>-</v>
      </c>
      <c r="H307" s="3">
        <f>VLOOKUP(A307,'14-Michelle'!$A$2:$F$24,5,FALSE)</f>
        <v>3</v>
      </c>
      <c r="I307" s="3" t="str">
        <f>VLOOKUP(A307,'14-Michelle'!$A$2:$F$24,6,FALSE)</f>
        <v>-</v>
      </c>
      <c r="J307" s="3">
        <f>VLOOKUP(A307,'14-Michelle'!$A$1:$H$38,8,FALSE)</f>
        <v>0</v>
      </c>
    </row>
    <row r="308" spans="1:10" x14ac:dyDescent="0.35">
      <c r="A308" s="4" t="s">
        <v>911</v>
      </c>
      <c r="B308" s="4" t="s">
        <v>530</v>
      </c>
      <c r="C308" t="s">
        <v>94</v>
      </c>
      <c r="D308" s="3">
        <f>_xlfn.XLOOKUP(C308,'Territory List'!$D$2:$D$352,'Territory List'!$G$2:$G$352)</f>
        <v>15</v>
      </c>
      <c r="E308" s="10" t="str">
        <f>VLOOKUP(A308,'15-Michelle'!$A$2:$F$22,3,FALSE)</f>
        <v>4/29 @ 12:30pm</v>
      </c>
      <c r="F308" s="10" t="str">
        <f>VLOOKUP(A308,'15-Michelle'!$A$1:$H$40,7,FALSE)</f>
        <v>9/24 @ 10:30am</v>
      </c>
      <c r="G308" s="3">
        <f>VLOOKUP(A308,'15-Michelle'!$A$2:$F$22,4,FALSE)</f>
        <v>0</v>
      </c>
      <c r="H308" s="3">
        <f>VLOOKUP(A308,'15-Michelle'!$A$2:$F$22,5,FALSE)</f>
        <v>3</v>
      </c>
      <c r="I308" s="3" t="str">
        <f>VLOOKUP(A308,'15-Michelle'!$A$2:$F$22,6,FALSE)</f>
        <v>-</v>
      </c>
      <c r="J308" s="3">
        <f>VLOOKUP(A308,'15-Michelle'!$A$1:$H$40,8,FALSE)</f>
        <v>0</v>
      </c>
    </row>
    <row r="309" spans="1:10" x14ac:dyDescent="0.35">
      <c r="A309" s="4" t="s">
        <v>910</v>
      </c>
      <c r="B309" s="4" t="s">
        <v>530</v>
      </c>
      <c r="C309" t="s">
        <v>94</v>
      </c>
      <c r="D309" s="3">
        <f>_xlfn.XLOOKUP(C309,'Territory List'!$D$2:$D$352,'Territory List'!$G$2:$G$352)</f>
        <v>15</v>
      </c>
      <c r="E309" s="10">
        <f>VLOOKUP(A309,'15-Michelle'!$A$2:$F$22,3,FALSE)</f>
        <v>46063</v>
      </c>
      <c r="F309" s="10" t="str">
        <f>VLOOKUP(A309,'15-Michelle'!$A$1:$H$40,7,FALSE)</f>
        <v>9/24 @9am</v>
      </c>
      <c r="G309" s="3">
        <f>VLOOKUP(A309,'15-Michelle'!$A$2:$F$22,4,FALSE)</f>
        <v>0</v>
      </c>
      <c r="H309" s="3">
        <f>VLOOKUP(A309,'15-Michelle'!$A$2:$F$22,5,FALSE)</f>
        <v>6</v>
      </c>
      <c r="I309" s="3" t="str">
        <f>VLOOKUP(A309,'15-Michelle'!$A$2:$F$22,6,FALSE)</f>
        <v>-</v>
      </c>
      <c r="J309" s="3">
        <f>VLOOKUP(A309,'15-Michelle'!$A$1:$H$40,8,FALSE)</f>
        <v>0</v>
      </c>
    </row>
    <row r="310" spans="1:10" x14ac:dyDescent="0.35">
      <c r="A310" s="4" t="s">
        <v>894</v>
      </c>
      <c r="B310" s="4" t="s">
        <v>895</v>
      </c>
      <c r="C310" t="s">
        <v>92</v>
      </c>
      <c r="D310" s="3">
        <f>_xlfn.XLOOKUP(C310,'Territory List'!$D$2:$D$352,'Territory List'!$G$2:$G$352)</f>
        <v>15</v>
      </c>
      <c r="E310" s="10" t="str">
        <f>VLOOKUP(A310,'15-Michelle'!$A$2:$F$22,3,FALSE)</f>
        <v>5/14 @12pm</v>
      </c>
      <c r="F310" s="10">
        <f>VLOOKUP(A310,'15-Michelle'!$A$1:$H$40,7,FALSE)</f>
        <v>0</v>
      </c>
      <c r="G310" s="3" t="str">
        <f>VLOOKUP(A310,'15-Michelle'!$A$2:$F$22,4,FALSE)</f>
        <v>-</v>
      </c>
      <c r="H310" s="3">
        <f>VLOOKUP(A310,'15-Michelle'!$A$2:$F$22,5,FALSE)</f>
        <v>3</v>
      </c>
      <c r="I310" s="3" t="str">
        <f>VLOOKUP(A310,'15-Michelle'!$A$2:$F$22,6,FALSE)</f>
        <v>-</v>
      </c>
      <c r="J310" s="3">
        <f>VLOOKUP(A310,'15-Michelle'!$A$1:$H$40,8,FALSE)</f>
        <v>0</v>
      </c>
    </row>
    <row r="311" spans="1:10" x14ac:dyDescent="0.35">
      <c r="A311" s="4" t="s">
        <v>811</v>
      </c>
      <c r="B311" s="4" t="s">
        <v>812</v>
      </c>
      <c r="C311" t="s">
        <v>73</v>
      </c>
      <c r="D311" s="3">
        <f>_xlfn.XLOOKUP(C311,'Territory List'!$D$2:$D$352,'Territory List'!$G$2:$G$352)</f>
        <v>15</v>
      </c>
      <c r="E311" s="10" t="str">
        <f>VLOOKUP(A311,'15-Michelle'!$A$2:$F$22,3,FALSE)</f>
        <v>5/20 @ 1:30</v>
      </c>
      <c r="F311" s="10">
        <f>VLOOKUP(A311,'15-Michelle'!$A$1:$H$40,7,FALSE)</f>
        <v>0</v>
      </c>
      <c r="G311" s="3">
        <f>VLOOKUP(A311,'15-Michelle'!$A$2:$F$22,4,FALSE)</f>
        <v>0</v>
      </c>
      <c r="H311" s="3">
        <f>VLOOKUP(A311,'15-Michelle'!$A$2:$F$22,5,FALSE)</f>
        <v>3</v>
      </c>
      <c r="I311" s="3" t="str">
        <f>VLOOKUP(A311,'15-Michelle'!$A$2:$F$22,6,FALSE)</f>
        <v>-</v>
      </c>
      <c r="J311" s="3">
        <f>VLOOKUP(A311,'15-Michelle'!$A$1:$H$40,8,FALSE)</f>
        <v>0</v>
      </c>
    </row>
    <row r="312" spans="1:10" x14ac:dyDescent="0.35">
      <c r="A312" s="4" t="s">
        <v>779</v>
      </c>
      <c r="B312" s="4" t="s">
        <v>780</v>
      </c>
      <c r="C312" t="s">
        <v>86</v>
      </c>
      <c r="D312" s="3">
        <f>_xlfn.XLOOKUP(C312,'Territory List'!$D$2:$D$352,'Territory List'!$G$2:$G$352)</f>
        <v>15</v>
      </c>
      <c r="E312" s="10">
        <f>VLOOKUP(A312,'15-Michelle'!$A$2:$F$22,3,FALSE)</f>
        <v>0</v>
      </c>
      <c r="F312" s="10">
        <f>VLOOKUP(A312,'15-Michelle'!$A$1:$H$40,7,FALSE)</f>
        <v>0</v>
      </c>
      <c r="G312" s="3" t="str">
        <f>VLOOKUP(A312,'15-Michelle'!$A$2:$F$22,4,FALSE)</f>
        <v>Ashling on maternity leave until late June</v>
      </c>
      <c r="H312" s="3">
        <f>VLOOKUP(A312,'15-Michelle'!$A$2:$F$22,5,FALSE)</f>
        <v>3</v>
      </c>
      <c r="I312" s="3" t="str">
        <f>VLOOKUP(A312,'15-Michelle'!$A$2:$F$22,6,FALSE)</f>
        <v>-</v>
      </c>
      <c r="J312" s="3">
        <f>VLOOKUP(A312,'15-Michelle'!$A$1:$H$40,8,FALSE)</f>
        <v>0</v>
      </c>
    </row>
    <row r="313" spans="1:10" x14ac:dyDescent="0.35">
      <c r="A313" s="4" t="s">
        <v>759</v>
      </c>
      <c r="B313" s="4" t="s">
        <v>760</v>
      </c>
      <c r="C313" t="s">
        <v>84</v>
      </c>
      <c r="D313" s="3">
        <f>_xlfn.XLOOKUP(C313,'Territory List'!$D$2:$D$352,'Territory List'!$G$2:$G$352)</f>
        <v>15</v>
      </c>
      <c r="E313" s="10" t="str">
        <f>VLOOKUP(A313,'15-Michelle'!$A$2:$F$22,3,FALSE)</f>
        <v>5/12 @12:30</v>
      </c>
      <c r="F313" s="10" t="str">
        <f>VLOOKUP(A313,'15-Michelle'!$A$1:$H$40,7,FALSE)</f>
        <v>9/15 @ 9:30</v>
      </c>
      <c r="G313" s="3" t="str">
        <f>VLOOKUP(A313,'15-Michelle'!$A$2:$F$22,4,FALSE)</f>
        <v>-</v>
      </c>
      <c r="H313" s="3">
        <f>VLOOKUP(A313,'15-Michelle'!$A$2:$F$22,5,FALSE)</f>
        <v>3</v>
      </c>
      <c r="I313" s="3" t="str">
        <f>VLOOKUP(A313,'15-Michelle'!$A$2:$F$22,6,FALSE)</f>
        <v>-</v>
      </c>
      <c r="J313" s="3">
        <f>VLOOKUP(A313,'15-Michelle'!$A$1:$H$40,8,FALSE)</f>
        <v>0</v>
      </c>
    </row>
    <row r="314" spans="1:10" x14ac:dyDescent="0.35">
      <c r="A314" s="4" t="s">
        <v>747</v>
      </c>
      <c r="B314" s="4" t="s">
        <v>748</v>
      </c>
      <c r="C314" t="s">
        <v>82</v>
      </c>
      <c r="D314" s="3">
        <f>_xlfn.XLOOKUP(C314,'Territory List'!$D$2:$D$352,'Territory List'!$G$2:$G$352)</f>
        <v>15</v>
      </c>
      <c r="E314" s="10" t="str">
        <f>VLOOKUP(A314,'15-Michelle'!$A$2:$F$22,3,FALSE)</f>
        <v>5/20 @ 12pm</v>
      </c>
      <c r="F314" s="10">
        <f>VLOOKUP(A314,'15-Michelle'!$A$1:$H$40,7,FALSE)</f>
        <v>0</v>
      </c>
      <c r="G314" s="3" t="str">
        <f>VLOOKUP(A314,'15-Michelle'!$A$2:$F$22,4,FALSE)</f>
        <v>-</v>
      </c>
      <c r="H314" s="3">
        <f>VLOOKUP(A314,'15-Michelle'!$A$2:$F$22,5,FALSE)</f>
        <v>5</v>
      </c>
      <c r="I314" s="3" t="str">
        <f>VLOOKUP(A314,'15-Michelle'!$A$2:$F$22,6,FALSE)</f>
        <v>-</v>
      </c>
      <c r="J314" s="3">
        <f>VLOOKUP(A314,'15-Michelle'!$A$1:$H$40,8,FALSE)</f>
        <v>0</v>
      </c>
    </row>
    <row r="315" spans="1:10" x14ac:dyDescent="0.35">
      <c r="A315" s="4" t="s">
        <v>731</v>
      </c>
      <c r="B315" s="4" t="s">
        <v>967</v>
      </c>
      <c r="C315" t="s">
        <v>90</v>
      </c>
      <c r="D315" s="3">
        <f>_xlfn.XLOOKUP(C315,'Territory List'!$D$2:$D$352,'Territory List'!$G$2:$G$352)</f>
        <v>15</v>
      </c>
      <c r="E315" s="10" t="str">
        <f>VLOOKUP(A315,'15-Michelle'!$A$2:$F$22,3,FALSE)</f>
        <v>5/21 @ 9am</v>
      </c>
      <c r="F315" s="10">
        <f>VLOOKUP(A315,'15-Michelle'!$A$1:$H$40,7,FALSE)</f>
        <v>0</v>
      </c>
      <c r="G315" s="3" t="str">
        <f>VLOOKUP(A315,'15-Michelle'!$A$2:$F$22,4,FALSE)</f>
        <v>Sent performance report</v>
      </c>
      <c r="H315" s="3">
        <f>VLOOKUP(A315,'15-Michelle'!$A$2:$F$22,5,FALSE)</f>
        <v>3</v>
      </c>
      <c r="I315" s="3" t="str">
        <f>VLOOKUP(A315,'15-Michelle'!$A$2:$F$22,6,FALSE)</f>
        <v>-</v>
      </c>
      <c r="J315" s="3">
        <f>VLOOKUP(A315,'15-Michelle'!$A$1:$H$40,8,FALSE)</f>
        <v>0</v>
      </c>
    </row>
    <row r="316" spans="1:10" x14ac:dyDescent="0.35">
      <c r="A316" s="4" t="s">
        <v>674</v>
      </c>
      <c r="B316" s="4" t="s">
        <v>968</v>
      </c>
      <c r="C316" t="s">
        <v>78</v>
      </c>
      <c r="D316" s="3">
        <f>_xlfn.XLOOKUP(C316,'Territory List'!$D$2:$D$352,'Territory List'!$G$2:$G$352)</f>
        <v>15</v>
      </c>
      <c r="E316" s="10" t="str">
        <f>VLOOKUP(A316,'15-Michelle'!$A$2:$F$22,3,FALSE)</f>
        <v>5/19 @1:30</v>
      </c>
      <c r="F316" s="10">
        <f>VLOOKUP(A316,'15-Michelle'!$A$1:$H$40,7,FALSE)</f>
        <v>0</v>
      </c>
      <c r="G316" s="3" t="str">
        <f>VLOOKUP(A316,'15-Michelle'!$A$2:$F$22,4,FALSE)</f>
        <v>-</v>
      </c>
      <c r="H316" s="3" t="str">
        <f>VLOOKUP(A316,'15-Michelle'!$A$2:$F$22,5,FALSE)</f>
        <v>-</v>
      </c>
      <c r="I316" s="3" t="str">
        <f>VLOOKUP(A316,'15-Michelle'!$A$2:$F$22,6,FALSE)</f>
        <v>-</v>
      </c>
      <c r="J316" s="3">
        <f>VLOOKUP(A316,'15-Michelle'!$A$1:$H$40,8,FALSE)</f>
        <v>0</v>
      </c>
    </row>
    <row r="317" spans="1:10" x14ac:dyDescent="0.35">
      <c r="A317" s="4" t="s">
        <v>658</v>
      </c>
      <c r="B317" s="4" t="s">
        <v>659</v>
      </c>
      <c r="C317" t="s">
        <v>77</v>
      </c>
      <c r="D317" s="3">
        <f>_xlfn.XLOOKUP(C317,'Territory List'!$D$2:$D$352,'Territory List'!$G$2:$G$352)</f>
        <v>15</v>
      </c>
      <c r="E317" s="10" t="str">
        <f>VLOOKUP(A317,'15-Michelle'!$A$2:$F$22,3,FALSE)</f>
        <v>5/19 @10:30</v>
      </c>
      <c r="F317" s="10">
        <f>VLOOKUP(A317,'15-Michelle'!$A$1:$H$40,7,FALSE)</f>
        <v>0</v>
      </c>
      <c r="G317" s="3" t="str">
        <f>VLOOKUP(A317,'15-Michelle'!$A$2:$F$22,4,FALSE)</f>
        <v>Sent performance report</v>
      </c>
      <c r="H317" s="3">
        <f>VLOOKUP(A317,'15-Michelle'!$A$2:$F$22,5,FALSE)</f>
        <v>3</v>
      </c>
      <c r="I317" s="3" t="str">
        <f>VLOOKUP(A317,'15-Michelle'!$A$2:$F$22,6,FALSE)</f>
        <v>-</v>
      </c>
      <c r="J317" s="3">
        <f>VLOOKUP(A317,'15-Michelle'!$A$1:$H$40,8,FALSE)</f>
        <v>0</v>
      </c>
    </row>
    <row r="318" spans="1:10" x14ac:dyDescent="0.35">
      <c r="A318" s="4" t="s">
        <v>652</v>
      </c>
      <c r="B318" s="4" t="s">
        <v>653</v>
      </c>
      <c r="C318" t="s">
        <v>246</v>
      </c>
      <c r="D318" s="3">
        <f>_xlfn.XLOOKUP(C318,'Territory List'!$D$2:$D$352,'Territory List'!$G$2:$G$352)</f>
        <v>15</v>
      </c>
      <c r="E318" s="10" t="str">
        <f>VLOOKUP(A318,'15-Michelle'!$A$2:$F$22,3,FALSE)</f>
        <v>5/12 @ 2pm</v>
      </c>
      <c r="F318" s="10">
        <f>VLOOKUP(A318,'15-Michelle'!$A$1:$H$40,7,FALSE)</f>
        <v>0</v>
      </c>
      <c r="G318" s="3" t="str">
        <f>VLOOKUP(A318,'15-Michelle'!$A$2:$F$22,4,FALSE)</f>
        <v>-</v>
      </c>
      <c r="H318" s="3" t="str">
        <f>VLOOKUP(A318,'15-Michelle'!$A$2:$F$22,5,FALSE)</f>
        <v>-</v>
      </c>
      <c r="I318" s="3" t="str">
        <f>VLOOKUP(A318,'15-Michelle'!$A$2:$F$22,6,FALSE)</f>
        <v>-</v>
      </c>
      <c r="J318" s="3">
        <f>VLOOKUP(A318,'15-Michelle'!$A$1:$H$40,8,FALSE)</f>
        <v>0</v>
      </c>
    </row>
    <row r="319" spans="1:10" x14ac:dyDescent="0.35">
      <c r="A319" s="4" t="s">
        <v>649</v>
      </c>
      <c r="B319" s="4" t="s">
        <v>650</v>
      </c>
      <c r="C319" t="s">
        <v>75</v>
      </c>
      <c r="D319" s="3">
        <f>_xlfn.XLOOKUP(C319,'Territory List'!$D$2:$D$352,'Territory List'!$G$2:$G$352)</f>
        <v>15</v>
      </c>
      <c r="E319" s="10" t="str">
        <f>VLOOKUP(A319,'15-Michelle'!$A$2:$F$22,3,FALSE)</f>
        <v>5/19 @ 9am</v>
      </c>
      <c r="F319" s="10">
        <f>VLOOKUP(A319,'15-Michelle'!$A$1:$H$40,7,FALSE)</f>
        <v>0</v>
      </c>
      <c r="G319" s="3" t="str">
        <f>VLOOKUP(A319,'15-Michelle'!$A$2:$F$22,4,FALSE)</f>
        <v>-</v>
      </c>
      <c r="H319" s="3">
        <f>VLOOKUP(A319,'15-Michelle'!$A$2:$F$22,5,FALSE)</f>
        <v>3</v>
      </c>
      <c r="I319" s="3" t="str">
        <f>VLOOKUP(A319,'15-Michelle'!$A$2:$F$22,6,FALSE)</f>
        <v>-</v>
      </c>
      <c r="J319" s="3">
        <f>VLOOKUP(A319,'15-Michelle'!$A$1:$H$40,8,FALSE)</f>
        <v>0</v>
      </c>
    </row>
    <row r="320" spans="1:10" x14ac:dyDescent="0.35">
      <c r="A320" s="4" t="s">
        <v>578</v>
      </c>
      <c r="B320" s="4" t="s">
        <v>579</v>
      </c>
      <c r="C320" t="s">
        <v>71</v>
      </c>
      <c r="D320" s="3">
        <f>_xlfn.XLOOKUP(C320,'Territory List'!$D$2:$D$352,'Territory List'!$G$2:$G$352)</f>
        <v>15</v>
      </c>
      <c r="E320" s="10" t="str">
        <f>VLOOKUP(A320,'15-Michelle'!$A$2:$F$22,3,FALSE)</f>
        <v>5/26 @ 10am</v>
      </c>
      <c r="F320" s="10" t="str">
        <f>VLOOKUP(A320,'15-Michelle'!$A$1:$H$40,7,FALSE)</f>
        <v>10/13 @ 10:30</v>
      </c>
      <c r="G320" s="3" t="str">
        <f>VLOOKUP(A320,'15-Michelle'!$A$2:$F$22,4,FALSE)</f>
        <v>-</v>
      </c>
      <c r="H320" s="3" t="str">
        <f>VLOOKUP(A320,'15-Michelle'!$A$2:$F$22,5,FALSE)</f>
        <v>-</v>
      </c>
      <c r="I320" s="3" t="str">
        <f>VLOOKUP(A320,'15-Michelle'!$A$2:$F$22,6,FALSE)</f>
        <v>-</v>
      </c>
      <c r="J320" s="3">
        <f>VLOOKUP(A320,'15-Michelle'!$A$1:$H$40,8,FALSE)</f>
        <v>0</v>
      </c>
    </row>
    <row r="321" spans="1:10" x14ac:dyDescent="0.35">
      <c r="A321" s="4" t="s">
        <v>576</v>
      </c>
      <c r="B321" s="4" t="s">
        <v>577</v>
      </c>
      <c r="C321" t="s">
        <v>70</v>
      </c>
      <c r="D321" s="3">
        <f>_xlfn.XLOOKUP(C321,'Territory List'!$D$2:$D$352,'Territory List'!$G$2:$G$352)</f>
        <v>15</v>
      </c>
      <c r="E321" s="10" t="str">
        <f>VLOOKUP(A321,'15-Michelle'!$A$2:$F$22,3,FALSE)</f>
        <v>5/20 @ 10:30 (new treas)</v>
      </c>
      <c r="F321" s="10">
        <f>VLOOKUP(A321,'15-Michelle'!$A$1:$H$40,7,FALSE)</f>
        <v>0</v>
      </c>
      <c r="G321" s="3" t="str">
        <f>VLOOKUP(A321,'15-Michelle'!$A$2:$F$22,4,FALSE)</f>
        <v>-</v>
      </c>
      <c r="H321" s="3">
        <f>VLOOKUP(A321,'15-Michelle'!$A$2:$F$22,5,FALSE)</f>
        <v>3</v>
      </c>
      <c r="I321" s="3" t="str">
        <f>VLOOKUP(A321,'15-Michelle'!$A$2:$F$22,6,FALSE)</f>
        <v>-</v>
      </c>
      <c r="J321" s="3">
        <f>VLOOKUP(A321,'15-Michelle'!$A$1:$H$40,8,FALSE)</f>
        <v>0</v>
      </c>
    </row>
    <row r="322" spans="1:10" x14ac:dyDescent="0.35">
      <c r="A322" s="4" t="s">
        <v>570</v>
      </c>
      <c r="B322" s="4" t="s">
        <v>571</v>
      </c>
      <c r="C322" t="s">
        <v>69</v>
      </c>
      <c r="D322" s="3">
        <f>_xlfn.XLOOKUP(C322,'Territory List'!$D$2:$D$352,'Territory List'!$G$2:$G$352)</f>
        <v>15</v>
      </c>
      <c r="E322" s="10" t="str">
        <f>VLOOKUP(A322,'15-Michelle'!$A$2:$F$22,3,FALSE)</f>
        <v>5/20 @ 3pm</v>
      </c>
      <c r="F322" s="10" t="str">
        <f>VLOOKUP(A322,'15-Michelle'!$A$1:$H$40,7,FALSE)</f>
        <v>9/10 @ 12pm</v>
      </c>
      <c r="G322" s="3">
        <f>VLOOKUP(A322,'15-Michelle'!$A$2:$F$22,4,FALSE)</f>
        <v>0</v>
      </c>
      <c r="H322" s="3">
        <f>VLOOKUP(A322,'15-Michelle'!$A$2:$F$22,5,FALSE)</f>
        <v>3</v>
      </c>
      <c r="I322" s="3" t="str">
        <f>VLOOKUP(A322,'15-Michelle'!$A$2:$F$22,6,FALSE)</f>
        <v>-</v>
      </c>
      <c r="J322" s="3">
        <f>VLOOKUP(A322,'15-Michelle'!$A$1:$H$40,8,FALSE)</f>
        <v>0</v>
      </c>
    </row>
    <row r="323" spans="1:10" x14ac:dyDescent="0.35">
      <c r="A323" s="4" t="s">
        <v>529</v>
      </c>
      <c r="B323" s="4" t="s">
        <v>530</v>
      </c>
      <c r="C323" t="s">
        <v>94</v>
      </c>
      <c r="D323" s="3">
        <f>_xlfn.XLOOKUP(C323,'Territory List'!$D$2:$D$352,'Territory List'!$G$2:$G$352)</f>
        <v>15</v>
      </c>
      <c r="E323" s="10">
        <v>46062</v>
      </c>
      <c r="F323" s="10">
        <v>46062</v>
      </c>
      <c r="G323" s="3">
        <f>VLOOKUP(A323,'15-Michelle'!$A$2:$F$22,4,FALSE)</f>
        <v>0</v>
      </c>
      <c r="H323" s="3">
        <f>VLOOKUP(A323,'15-Michelle'!$A$2:$F$22,5,FALSE)</f>
        <v>6</v>
      </c>
      <c r="I323" s="3" t="str">
        <f>VLOOKUP(A323,'15-Michelle'!$A$2:$F$22,6,FALSE)</f>
        <v>-</v>
      </c>
      <c r="J323" s="3">
        <f>VLOOKUP(A323,'15-Michelle'!$A$1:$H$40,8,FALSE)</f>
        <v>0</v>
      </c>
    </row>
    <row r="324" spans="1:10" x14ac:dyDescent="0.35">
      <c r="A324" s="4" t="s">
        <v>504</v>
      </c>
      <c r="B324" s="4" t="s">
        <v>931</v>
      </c>
      <c r="C324" t="s">
        <v>64</v>
      </c>
      <c r="D324" s="3">
        <f>_xlfn.XLOOKUP(C324,'Territory List'!$D$2:$D$352,'Territory List'!$G$2:$G$352)</f>
        <v>15</v>
      </c>
      <c r="E324" s="10" t="str">
        <f>VLOOKUP(A324,'15-Michelle'!$A$2:$F$22,3,FALSE)</f>
        <v>4/29 @ 11am</v>
      </c>
      <c r="F324" s="10">
        <f>VLOOKUP(A324,'15-Michelle'!$A$1:$H$40,7,FALSE)</f>
        <v>0</v>
      </c>
      <c r="G324" s="3">
        <f>VLOOKUP(A324,'15-Michelle'!$A$2:$F$22,4,FALSE)</f>
        <v>0</v>
      </c>
      <c r="H324" s="3">
        <f>VLOOKUP(A324,'15-Michelle'!$A$2:$F$22,5,FALSE)</f>
        <v>3</v>
      </c>
      <c r="I324" s="3" t="str">
        <f>VLOOKUP(A324,'15-Michelle'!$A$2:$F$22,6,FALSE)</f>
        <v>-</v>
      </c>
      <c r="J324" s="3">
        <f>VLOOKUP(A324,'15-Michelle'!$A$1:$H$40,8,FALSE)</f>
        <v>0</v>
      </c>
    </row>
    <row r="325" spans="1:10" x14ac:dyDescent="0.35">
      <c r="A325" s="4" t="s">
        <v>502</v>
      </c>
      <c r="B325" s="4" t="s">
        <v>503</v>
      </c>
      <c r="C325" t="s">
        <v>63</v>
      </c>
      <c r="D325" s="3">
        <f>_xlfn.XLOOKUP(C325,'Territory List'!$D$2:$D$352,'Territory List'!$G$2:$G$352)</f>
        <v>15</v>
      </c>
      <c r="E325" s="10" t="str">
        <f>VLOOKUP(A325,'15-Michelle'!$A$2:$F$22,3,FALSE)</f>
        <v>5/12 @ 11am</v>
      </c>
      <c r="F325" s="10">
        <f>VLOOKUP(A325,'15-Michelle'!$A$1:$H$40,7,FALSE)</f>
        <v>0</v>
      </c>
      <c r="G325" s="3" t="str">
        <f>VLOOKUP(A325,'15-Michelle'!$A$2:$F$22,4,FALSE)</f>
        <v>-</v>
      </c>
      <c r="H325" s="3">
        <f>VLOOKUP(A325,'15-Michelle'!$A$2:$F$22,5,FALSE)</f>
        <v>3</v>
      </c>
      <c r="I325" s="3">
        <f>VLOOKUP(A325,'15-Michelle'!$A$2:$F$22,6,FALSE)</f>
        <v>0</v>
      </c>
      <c r="J325" s="3">
        <f>VLOOKUP(A325,'15-Michelle'!$A$1:$H$40,8,FALSE)</f>
        <v>0</v>
      </c>
    </row>
    <row r="326" spans="1:10" x14ac:dyDescent="0.35">
      <c r="A326" s="4" t="s">
        <v>446</v>
      </c>
      <c r="B326" s="4" t="s">
        <v>447</v>
      </c>
      <c r="C326" t="s">
        <v>59</v>
      </c>
      <c r="D326" s="3">
        <f>_xlfn.XLOOKUP(C326,'Territory List'!$D$2:$D$352,'Territory List'!$G$2:$G$352)</f>
        <v>15</v>
      </c>
      <c r="E326" s="10" t="str">
        <f>VLOOKUP(A326,'15-Michelle'!$A$2:$F$22,3,FALSE)</f>
        <v>5/12 @ 9am</v>
      </c>
      <c r="F326" s="10" t="str">
        <f>VLOOKUP(A326,'15-Michelle'!$A$1:$H$40,7,FALSE)</f>
        <v>TBD</v>
      </c>
      <c r="G326" s="3" t="str">
        <f>VLOOKUP(A326,'15-Michelle'!$A$2:$F$22,4,FALSE)</f>
        <v>wants to wait until new FD is hired</v>
      </c>
      <c r="H326" s="3">
        <f>VLOOKUP(A326,'15-Michelle'!$A$2:$F$22,5,FALSE)</f>
        <v>6</v>
      </c>
      <c r="I326" s="3" t="str">
        <f>VLOOKUP(A326,'15-Michelle'!$A$2:$F$22,6,FALSE)</f>
        <v>-</v>
      </c>
      <c r="J326" s="3">
        <f>VLOOKUP(A326,'15-Michelle'!$A$1:$H$40,8,FALSE)</f>
        <v>0</v>
      </c>
    </row>
    <row r="327" spans="1:10" x14ac:dyDescent="0.35">
      <c r="A327" s="4" t="s">
        <v>433</v>
      </c>
      <c r="B327" s="4" t="s">
        <v>432</v>
      </c>
      <c r="C327" t="s">
        <v>57</v>
      </c>
      <c r="D327" s="3">
        <f>_xlfn.XLOOKUP(C327,'Territory List'!$D$2:$D$352,'Territory List'!$G$2:$G$352)</f>
        <v>15</v>
      </c>
      <c r="E327" s="10" t="str">
        <f>VLOOKUP(A327,'15-Michelle'!$A$2:$F$22,3,FALSE)</f>
        <v>4/29 @9:30</v>
      </c>
      <c r="F327" s="10">
        <f>VLOOKUP(A327,'15-Michelle'!$A$1:$H$40,7,FALSE)</f>
        <v>0</v>
      </c>
      <c r="G327" s="3" t="str">
        <f>VLOOKUP(A327,'15-Michelle'!$A$2:$F$22,4,FALSE)</f>
        <v>Sent performance report</v>
      </c>
      <c r="H327" s="3">
        <f>VLOOKUP(A327,'15-Michelle'!$A$2:$F$22,5,FALSE)</f>
        <v>3</v>
      </c>
      <c r="I327" s="3" t="str">
        <f>VLOOKUP(A327,'15-Michelle'!$A$2:$F$22,6,FALSE)</f>
        <v>-</v>
      </c>
      <c r="J327" s="3">
        <f>VLOOKUP(A327,'15-Michelle'!$A$1:$H$40,8,FALSE)</f>
        <v>0</v>
      </c>
    </row>
    <row r="328" spans="1:10" x14ac:dyDescent="0.35">
      <c r="A328" s="4" t="s">
        <v>431</v>
      </c>
      <c r="B328" s="4" t="s">
        <v>432</v>
      </c>
      <c r="C328" t="s">
        <v>57</v>
      </c>
      <c r="D328" s="3">
        <f>_xlfn.XLOOKUP(C328,'Territory List'!$D$2:$D$352,'Territory List'!$G$2:$G$352)</f>
        <v>15</v>
      </c>
      <c r="E328" s="10">
        <f>VLOOKUP(A328,'15-Michelle'!$A$2:$F$22,3,FALSE)</f>
        <v>46107</v>
      </c>
      <c r="F328" s="10">
        <f>VLOOKUP(A328,'15-Michelle'!$A$1:$H$40,7,FALSE)</f>
        <v>0</v>
      </c>
      <c r="G328" s="3" t="str">
        <f>VLOOKUP(A328,'15-Michelle'!$A$2:$F$22,4,FALSE)</f>
        <v>Opportunity Stab Eastern</v>
      </c>
      <c r="H328" s="3">
        <f>VLOOKUP(A328,'15-Michelle'!$A$2:$F$22,5,FALSE)</f>
        <v>3</v>
      </c>
      <c r="I328" s="3" t="str">
        <f>VLOOKUP(A328,'15-Michelle'!$A$2:$F$22,6,FALSE)</f>
        <v>-</v>
      </c>
      <c r="J328" s="3">
        <f>VLOOKUP(A328,'15-Michelle'!$A$1:$H$40,8,FALSE)</f>
        <v>0</v>
      </c>
    </row>
    <row r="329" spans="1:10" x14ac:dyDescent="0.35">
      <c r="A329" s="4" t="s">
        <v>862</v>
      </c>
      <c r="B329" s="4" t="s">
        <v>938</v>
      </c>
      <c r="C329" t="s">
        <v>88</v>
      </c>
      <c r="D329" s="3">
        <f>_xlfn.XLOOKUP(C329,'Territory List'!$D$2:$D$352,'Territory List'!$G$2:$G$352)</f>
        <v>16</v>
      </c>
      <c r="E329" s="10" t="str">
        <f>VLOOKUP(A329,'16-Michelle'!$A$2:$F$18,3,FALSE)</f>
        <v>6/2 @ 10am</v>
      </c>
      <c r="F329" s="10" t="str">
        <f>VLOOKUP(A329,'16-Michelle'!$A$1:$H$35,7,FALSE)</f>
        <v>8/24 @2pm</v>
      </c>
      <c r="G329" s="3" t="str">
        <f>VLOOKUP(A329,'16-Michelle'!$A$2:$F$18,4,FALSE)</f>
        <v>-</v>
      </c>
      <c r="H329" s="3">
        <f>VLOOKUP(A329,'16-Michelle'!$A$2:$F$18,5,FALSE)</f>
        <v>3</v>
      </c>
      <c r="I329" s="3" t="str">
        <f>VLOOKUP(A329,'16-Michelle'!$A$2:$F$18,6,FALSE)</f>
        <v>-</v>
      </c>
      <c r="J329" s="3">
        <f>VLOOKUP(A329,'16-Michelle'!$A$1:$H$35,8,FALSE)</f>
        <v>0</v>
      </c>
    </row>
    <row r="330" spans="1:10" x14ac:dyDescent="0.35">
      <c r="A330" s="4" t="s">
        <v>828</v>
      </c>
      <c r="B330" s="4" t="s">
        <v>81</v>
      </c>
      <c r="C330" t="s">
        <v>81</v>
      </c>
      <c r="D330" s="3">
        <f>_xlfn.XLOOKUP(C330,'Territory List'!$D$2:$D$352,'Territory List'!$G$2:$G$352)</f>
        <v>16</v>
      </c>
      <c r="E330" s="10" t="str">
        <f>VLOOKUP(A330,'16-Michelle'!$A$2:$F$18,3,FALSE)</f>
        <v>-</v>
      </c>
      <c r="F330" s="10">
        <f>VLOOKUP(A330,'16-Michelle'!$A$1:$H$35,7,FALSE)</f>
        <v>0</v>
      </c>
      <c r="G330" s="3" t="str">
        <f>VLOOKUP(A330,'16-Michelle'!$A$2:$F$18,4,FALSE)</f>
        <v>Virtual</v>
      </c>
      <c r="H330" s="3" t="str">
        <f>VLOOKUP(A330,'16-Michelle'!$A$2:$F$18,5,FALSE)</f>
        <v>-</v>
      </c>
      <c r="I330" s="3" t="str">
        <f>VLOOKUP(A330,'16-Michelle'!$A$2:$F$18,6,FALSE)</f>
        <v>-</v>
      </c>
      <c r="J330" s="3">
        <f>VLOOKUP(A330,'16-Michelle'!$A$1:$H$35,8,FALSE)</f>
        <v>0</v>
      </c>
    </row>
    <row r="331" spans="1:10" x14ac:dyDescent="0.35">
      <c r="A331" s="4" t="s">
        <v>794</v>
      </c>
      <c r="B331" s="4" t="s">
        <v>795</v>
      </c>
      <c r="C331" t="s">
        <v>87</v>
      </c>
      <c r="D331" s="3">
        <f>_xlfn.XLOOKUP(C331,'Territory List'!$D$2:$D$352,'Territory List'!$G$2:$G$352)</f>
        <v>16</v>
      </c>
      <c r="E331" s="10" t="str">
        <f>VLOOKUP(A331,'16-Michelle'!$A$2:$F$18,3,FALSE)</f>
        <v>5/21 @ 1:30</v>
      </c>
      <c r="F331" s="10">
        <f>VLOOKUP(A331,'16-Michelle'!$A$1:$H$35,7,FALSE)</f>
        <v>0</v>
      </c>
      <c r="G331" s="3" t="str">
        <f>VLOOKUP(A331,'16-Michelle'!$A$2:$F$18,4,FALSE)</f>
        <v>-</v>
      </c>
      <c r="H331" s="3">
        <f>VLOOKUP(A331,'16-Michelle'!$A$2:$F$18,5,FALSE)</f>
        <v>3</v>
      </c>
      <c r="I331" s="3" t="str">
        <f>VLOOKUP(A331,'16-Michelle'!$A$2:$F$18,6,FALSE)</f>
        <v>-</v>
      </c>
      <c r="J331" s="3">
        <f>VLOOKUP(A331,'16-Michelle'!$A$1:$H$35,8,FALSE)</f>
        <v>0</v>
      </c>
    </row>
    <row r="332" spans="1:10" x14ac:dyDescent="0.35">
      <c r="A332" s="4" t="s">
        <v>764</v>
      </c>
      <c r="B332" s="4" t="s">
        <v>765</v>
      </c>
      <c r="C332" t="s">
        <v>85</v>
      </c>
      <c r="D332" s="3">
        <f>_xlfn.XLOOKUP(C332,'Territory List'!$D$2:$D$352,'Territory List'!$G$2:$G$352)</f>
        <v>16</v>
      </c>
      <c r="E332" s="10" t="str">
        <f>VLOOKUP(A332,'16-Michelle'!$A$2:$F$18,3,FALSE)</f>
        <v>-</v>
      </c>
      <c r="F332" s="10">
        <f>VLOOKUP(A332,'16-Michelle'!$A$1:$H$35,7,FALSE)</f>
        <v>0</v>
      </c>
      <c r="G332" s="3" t="str">
        <f>VLOOKUP(A332,'16-Michelle'!$A$2:$F$18,4,FALSE)</f>
        <v>Virtual</v>
      </c>
      <c r="H332" s="3">
        <f>VLOOKUP(A332,'16-Michelle'!$A$2:$F$18,5,FALSE)</f>
        <v>3</v>
      </c>
      <c r="I332" s="3" t="str">
        <f>VLOOKUP(A332,'16-Michelle'!$A$2:$F$18,6,FALSE)</f>
        <v>-</v>
      </c>
      <c r="J332" s="3">
        <f>VLOOKUP(A332,'16-Michelle'!$A$1:$H$35,8,FALSE)</f>
        <v>0</v>
      </c>
    </row>
    <row r="333" spans="1:10" x14ac:dyDescent="0.35">
      <c r="A333" s="4" t="s">
        <v>734</v>
      </c>
      <c r="B333" s="4" t="s">
        <v>735</v>
      </c>
      <c r="C333" t="s">
        <v>81</v>
      </c>
      <c r="D333" s="3">
        <f>_xlfn.XLOOKUP(C333,'Territory List'!$D$2:$D$352,'Territory List'!$G$2:$G$352)</f>
        <v>16</v>
      </c>
      <c r="E333" s="10" t="str">
        <f>VLOOKUP(A333,'16-Michelle'!$A$2:$F$18,3,FALSE)</f>
        <v>5/27 @ 11</v>
      </c>
      <c r="F333" s="10">
        <f>VLOOKUP(A333,'16-Michelle'!$A$1:$H$35,7,FALSE)</f>
        <v>0</v>
      </c>
      <c r="G333" s="3" t="str">
        <f>VLOOKUP(A333,'16-Michelle'!$A$2:$F$18,4,FALSE)</f>
        <v>-</v>
      </c>
      <c r="H333" s="3">
        <f>VLOOKUP(A333,'16-Michelle'!$A$2:$F$18,5,FALSE)</f>
        <v>3</v>
      </c>
      <c r="I333" s="3" t="str">
        <f>VLOOKUP(A333,'16-Michelle'!$A$2:$F$18,6,FALSE)</f>
        <v>-</v>
      </c>
      <c r="J333" s="3">
        <f>VLOOKUP(A333,'16-Michelle'!$A$1:$H$35,8,FALSE)</f>
        <v>0</v>
      </c>
    </row>
    <row r="334" spans="1:10" x14ac:dyDescent="0.35">
      <c r="A334" s="4" t="s">
        <v>727</v>
      </c>
      <c r="B334" s="4" t="s">
        <v>728</v>
      </c>
      <c r="C334" t="s">
        <v>80</v>
      </c>
      <c r="D334" s="3">
        <f>_xlfn.XLOOKUP(C334,'Territory List'!$D$2:$D$352,'Territory List'!$G$2:$G$352)</f>
        <v>16</v>
      </c>
      <c r="E334" s="10" t="str">
        <f>VLOOKUP(A334,'16-Michelle'!$A$2:$F$18,3,FALSE)</f>
        <v>6/2 @ 11:30</v>
      </c>
      <c r="F334" s="10" t="str">
        <f>VLOOKUP(A334,'16-Michelle'!$A$1:$H$35,7,FALSE)</f>
        <v>8/24 @ 3pm</v>
      </c>
      <c r="G334" s="3" t="str">
        <f>VLOOKUP(A334,'16-Michelle'!$A$2:$F$18,4,FALSE)</f>
        <v>-</v>
      </c>
      <c r="H334" s="3">
        <f>VLOOKUP(A334,'16-Michelle'!$A$2:$F$18,5,FALSE)</f>
        <v>1</v>
      </c>
      <c r="I334" s="3" t="str">
        <f>VLOOKUP(A334,'16-Michelle'!$A$2:$F$18,6,FALSE)</f>
        <v>-</v>
      </c>
      <c r="J334" s="3">
        <f>VLOOKUP(A334,'16-Michelle'!$A$1:$H$35,8,FALSE)</f>
        <v>0</v>
      </c>
    </row>
    <row r="335" spans="1:10" x14ac:dyDescent="0.35">
      <c r="A335" s="4" t="s">
        <v>717</v>
      </c>
      <c r="B335" s="4" t="s">
        <v>960</v>
      </c>
      <c r="C335" t="s">
        <v>55</v>
      </c>
      <c r="D335" s="3">
        <f>_xlfn.XLOOKUP(C335,'Territory List'!$D$2:$D$352,'Territory List'!$G$2:$G$352)</f>
        <v>16</v>
      </c>
      <c r="E335" s="10" t="str">
        <f>VLOOKUP(A335,'16-Michelle'!$A$2:$F$18,3,FALSE)</f>
        <v>5/21 @ 12pm</v>
      </c>
      <c r="F335" s="10">
        <f>VLOOKUP(A335,'16-Michelle'!$A$1:$H$35,7,FALSE)</f>
        <v>0</v>
      </c>
      <c r="G335" s="3" t="str">
        <f>VLOOKUP(A335,'16-Michelle'!$A$2:$F$18,4,FALSE)</f>
        <v>-</v>
      </c>
      <c r="H335" s="3">
        <f>VLOOKUP(A335,'16-Michelle'!$A$2:$F$18,5,FALSE)</f>
        <v>3</v>
      </c>
      <c r="I335" s="3" t="str">
        <f>VLOOKUP(A335,'16-Michelle'!$A$2:$F$18,6,FALSE)</f>
        <v>-</v>
      </c>
      <c r="J335" s="3">
        <f>VLOOKUP(A335,'16-Michelle'!$A$1:$H$35,8,FALSE)</f>
        <v>0</v>
      </c>
    </row>
    <row r="336" spans="1:10" x14ac:dyDescent="0.35">
      <c r="A336" s="4" t="s">
        <v>605</v>
      </c>
      <c r="B336" s="4" t="s">
        <v>398</v>
      </c>
      <c r="C336" t="s">
        <v>54</v>
      </c>
      <c r="D336" s="3">
        <f>_xlfn.XLOOKUP(C336,'Territory List'!$D$2:$D$352,'Territory List'!$G$2:$G$352)</f>
        <v>16</v>
      </c>
      <c r="E336" s="10" t="str">
        <f>VLOOKUP(A336,'16-Michelle'!$A$2:$F$18,3,FALSE)</f>
        <v>-</v>
      </c>
      <c r="F336" s="10">
        <f>VLOOKUP(A336,'16-Michelle'!$A$1:$H$35,7,FALSE)</f>
        <v>0</v>
      </c>
      <c r="G336" s="3" t="str">
        <f>VLOOKUP(A336,'16-Michelle'!$A$2:$F$18,4,FALSE)</f>
        <v>-</v>
      </c>
      <c r="H336" s="3">
        <f>VLOOKUP(A336,'16-Michelle'!$A$2:$F$18,5,FALSE)</f>
        <v>1</v>
      </c>
      <c r="I336" s="3" t="str">
        <f>VLOOKUP(A336,'16-Michelle'!$A$2:$F$18,6,FALSE)</f>
        <v>-</v>
      </c>
      <c r="J336" s="3">
        <f>VLOOKUP(A336,'16-Michelle'!$A$1:$H$35,8,FALSE)</f>
        <v>0</v>
      </c>
    </row>
    <row r="337" spans="1:10" x14ac:dyDescent="0.35">
      <c r="A337" s="4" t="s">
        <v>523</v>
      </c>
      <c r="B337" s="4" t="s">
        <v>524</v>
      </c>
      <c r="C337" t="s">
        <v>67</v>
      </c>
      <c r="D337" s="3">
        <f>_xlfn.XLOOKUP(C337,'Territory List'!$D$2:$D$352,'Territory List'!$G$2:$G$352)</f>
        <v>16</v>
      </c>
      <c r="E337" s="10" t="str">
        <f>VLOOKUP(A337,'16-Michelle'!$A$2:$F$18,3,FALSE)</f>
        <v>-</v>
      </c>
      <c r="F337" s="10">
        <v>46030</v>
      </c>
      <c r="G337" s="3" t="str">
        <f>VLOOKUP(A337,'16-Michelle'!$A$2:$F$18,4,FALSE)</f>
        <v>Sent performance report</v>
      </c>
      <c r="H337" s="3">
        <f>VLOOKUP(A337,'16-Michelle'!$A$2:$F$18,5,FALSE)</f>
        <v>3</v>
      </c>
      <c r="I337" s="3" t="str">
        <f>VLOOKUP(A337,'16-Michelle'!$A$2:$F$18,6,FALSE)</f>
        <v>Kathleen</v>
      </c>
      <c r="J337" s="3">
        <f>VLOOKUP(A337,'16-Michelle'!$A$1:$H$35,8,FALSE)</f>
        <v>0</v>
      </c>
    </row>
    <row r="338" spans="1:10" x14ac:dyDescent="0.35">
      <c r="A338" s="4" t="s">
        <v>488</v>
      </c>
      <c r="B338" s="4" t="s">
        <v>965</v>
      </c>
      <c r="C338" t="s">
        <v>62</v>
      </c>
      <c r="D338" s="3">
        <f>_xlfn.XLOOKUP(C338,'Territory List'!$D$2:$D$352,'Territory List'!$G$2:$G$352)</f>
        <v>16</v>
      </c>
      <c r="E338" s="10" t="str">
        <f>VLOOKUP(A338,'16-Michelle'!$A$2:$F$18,3,FALSE)</f>
        <v>-</v>
      </c>
      <c r="F338" s="10">
        <f>VLOOKUP(A338,'16-Michelle'!$A$1:$H$35,7,FALSE)</f>
        <v>0</v>
      </c>
      <c r="G338" s="3" t="str">
        <f>VLOOKUP(A338,'16-Michelle'!$A$2:$F$18,4,FALSE)</f>
        <v>-</v>
      </c>
      <c r="H338" s="3">
        <f>VLOOKUP(A338,'16-Michelle'!$A$2:$F$18,5,FALSE)</f>
        <v>3</v>
      </c>
      <c r="I338" s="3" t="str">
        <f>VLOOKUP(A338,'16-Michelle'!$A$2:$F$18,6,FALSE)</f>
        <v>-</v>
      </c>
      <c r="J338" s="3">
        <f>VLOOKUP(A338,'16-Michelle'!$A$1:$H$35,8,FALSE)</f>
        <v>0</v>
      </c>
    </row>
    <row r="339" spans="1:10" x14ac:dyDescent="0.35">
      <c r="A339" s="4" t="s">
        <v>477</v>
      </c>
      <c r="B339" s="4" t="s">
        <v>398</v>
      </c>
      <c r="C339" t="s">
        <v>54</v>
      </c>
      <c r="D339" s="3">
        <f>_xlfn.XLOOKUP(C339,'Territory List'!$D$2:$D$352,'Territory List'!$G$2:$G$352)</f>
        <v>16</v>
      </c>
      <c r="F339" s="10">
        <f>VLOOKUP(A339,'16-Michelle'!$A$1:$H$35,7,FALSE)</f>
        <v>0</v>
      </c>
      <c r="G339" s="3" t="str">
        <f>VLOOKUP(A339,'16-Michelle'!$A$2:$F$18,4,FALSE)</f>
        <v>1x yr w/Prudential Committee or Molly and Carlton alone</v>
      </c>
      <c r="H339" s="3">
        <f>VLOOKUP(A339,'16-Michelle'!$A$2:$F$18,5,FALSE)</f>
        <v>3</v>
      </c>
      <c r="I339" s="3" t="str">
        <f>VLOOKUP(A339,'16-Michelle'!$A$2:$F$18,6,FALSE)</f>
        <v>-</v>
      </c>
      <c r="J339" s="3">
        <f>VLOOKUP(A339,'16-Michelle'!$A$1:$H$35,8,FALSE)</f>
        <v>0</v>
      </c>
    </row>
    <row r="340" spans="1:10" x14ac:dyDescent="0.35">
      <c r="A340" s="4" t="s">
        <v>469</v>
      </c>
      <c r="B340" s="4" t="s">
        <v>470</v>
      </c>
      <c r="C340" t="s">
        <v>61</v>
      </c>
      <c r="D340" s="3">
        <f>_xlfn.XLOOKUP(C340,'Territory List'!$D$2:$D$352,'Territory List'!$G$2:$G$352)</f>
        <v>16</v>
      </c>
      <c r="E340" s="10" t="str">
        <f>VLOOKUP(A340,'16-Michelle'!$A$2:$F$18,3,FALSE)</f>
        <v>6/2 @1pm (Virtual)</v>
      </c>
      <c r="F340" s="10">
        <f>VLOOKUP(A340,'16-Michelle'!$A$1:$H$35,7,FALSE)</f>
        <v>0</v>
      </c>
      <c r="G340" s="3" t="str">
        <f>VLOOKUP(A340,'16-Michelle'!$A$2:$F$18,4,FALSE)</f>
        <v>-</v>
      </c>
      <c r="H340" s="3">
        <f>VLOOKUP(A340,'16-Michelle'!$A$2:$F$18,5,FALSE)</f>
        <v>3</v>
      </c>
      <c r="I340" s="3" t="str">
        <f>VLOOKUP(A340,'16-Michelle'!$A$2:$F$18,6,FALSE)</f>
        <v>-</v>
      </c>
      <c r="J340" s="3">
        <f>VLOOKUP(A340,'16-Michelle'!$A$1:$H$35,8,FALSE)</f>
        <v>0</v>
      </c>
    </row>
    <row r="341" spans="1:10" x14ac:dyDescent="0.35">
      <c r="A341" s="4" t="s">
        <v>452</v>
      </c>
      <c r="B341" s="4" t="s">
        <v>453</v>
      </c>
      <c r="C341" t="s">
        <v>60</v>
      </c>
      <c r="D341" s="3">
        <f>_xlfn.XLOOKUP(C341,'Territory List'!$D$2:$D$352,'Territory List'!$G$2:$G$352)</f>
        <v>16</v>
      </c>
      <c r="E341" s="10" t="str">
        <f>VLOOKUP(A341,'16-Michelle'!$A$2:$F$18,3,FALSE)</f>
        <v>5/27 @ 12:30</v>
      </c>
      <c r="F341" s="10">
        <f>VLOOKUP(A341,'16-Michelle'!$A$1:$H$35,7,FALSE)</f>
        <v>0</v>
      </c>
      <c r="G341" s="3" t="str">
        <f>VLOOKUP(A341,'16-Michelle'!$A$2:$F$18,4,FALSE)</f>
        <v>1x year OPEB ctte, 2x yr w/Sharon alone</v>
      </c>
      <c r="H341" s="3">
        <f>VLOOKUP(A341,'16-Michelle'!$A$2:$F$18,5,FALSE)</f>
        <v>3</v>
      </c>
      <c r="I341" s="3" t="str">
        <f>VLOOKUP(A341,'16-Michelle'!$A$2:$F$18,6,FALSE)</f>
        <v>-</v>
      </c>
      <c r="J341" s="3">
        <f>VLOOKUP(A341,'16-Michelle'!$A$1:$H$35,8,FALSE)</f>
        <v>0</v>
      </c>
    </row>
    <row r="342" spans="1:10" x14ac:dyDescent="0.35">
      <c r="A342" s="4" t="s">
        <v>1029</v>
      </c>
      <c r="B342" s="4" t="s">
        <v>453</v>
      </c>
      <c r="C342" t="s">
        <v>60</v>
      </c>
      <c r="D342" s="3">
        <v>16</v>
      </c>
      <c r="E342" s="10" t="e">
        <f>VLOOKUP(A342,'16-Michelle'!$A$2:$F$18,3,FALSE)</f>
        <v>#N/A</v>
      </c>
      <c r="F342" s="10" t="e">
        <f>VLOOKUP(A342,'16-Michelle'!$A$1:$H$35,7,FALSE)</f>
        <v>#N/A</v>
      </c>
      <c r="G342" s="3" t="e">
        <f>VLOOKUP(A342,'16-Michelle'!$A$2:$F$18,4,FALSE)</f>
        <v>#N/A</v>
      </c>
      <c r="H342" s="3" t="e">
        <f>VLOOKUP(A342,'16-Michelle'!$A$2:$F$18,5,FALSE)</f>
        <v>#N/A</v>
      </c>
      <c r="I342" s="3" t="e">
        <f>VLOOKUP(A342,'16-Michelle'!$A$2:$F$18,6,FALSE)</f>
        <v>#N/A</v>
      </c>
      <c r="J342" s="3">
        <f>_xlfn.IFNA(VLOOKUP(A342,'13-Michelle'!$A$1:$H$35,8,FALSE),0)</f>
        <v>0</v>
      </c>
    </row>
    <row r="343" spans="1:10" x14ac:dyDescent="0.35">
      <c r="A343" s="4" t="s">
        <v>439</v>
      </c>
      <c r="B343" s="4" t="s">
        <v>960</v>
      </c>
      <c r="C343" t="s">
        <v>55</v>
      </c>
      <c r="D343" s="3">
        <f>_xlfn.XLOOKUP(C343,'Territory List'!$D$2:$D$352,'Territory List'!$G$2:$G$352)</f>
        <v>16</v>
      </c>
      <c r="E343" s="10" t="str">
        <f>VLOOKUP(A343,'16-Michelle'!$A$2:$F$18,3,FALSE)</f>
        <v>5/21 @ 10:30</v>
      </c>
      <c r="F343" s="10">
        <f>VLOOKUP(A343,'16-Michelle'!$A$1:$H$35,7,FALSE)</f>
        <v>0</v>
      </c>
      <c r="G343" s="3" t="str">
        <f>VLOOKUP(A343,'16-Michelle'!$A$2:$F$18,4,FALSE)</f>
        <v>Sent performance report</v>
      </c>
      <c r="H343" s="3">
        <f>VLOOKUP(A343,'16-Michelle'!$A$2:$F$18,5,FALSE)</f>
        <v>3</v>
      </c>
      <c r="I343" s="3" t="str">
        <f>VLOOKUP(A343,'16-Michelle'!$A$2:$F$18,6,FALSE)</f>
        <v>-</v>
      </c>
      <c r="J343" s="3">
        <f>VLOOKUP(A343,'16-Michelle'!$A$1:$H$35,8,FALSE)</f>
        <v>0</v>
      </c>
    </row>
    <row r="344" spans="1:10" x14ac:dyDescent="0.35">
      <c r="A344" s="4" t="s">
        <v>423</v>
      </c>
      <c r="B344" s="4" t="s">
        <v>960</v>
      </c>
      <c r="C344" t="s">
        <v>55</v>
      </c>
      <c r="D344" s="3">
        <f>_xlfn.XLOOKUP(C344,'Territory List'!$D$2:$D$352,'Territory List'!$G$2:$G$352)</f>
        <v>16</v>
      </c>
      <c r="E344" s="10" t="str">
        <f>VLOOKUP(A344,'16-Michelle'!$A$2:$F$18,3,FALSE)</f>
        <v>-</v>
      </c>
      <c r="F344" s="10">
        <v>46065</v>
      </c>
      <c r="G344" s="3" t="str">
        <f>VLOOKUP(A344,'16-Michelle'!$A$2:$F$18,4,FALSE)</f>
        <v>Sent performance report</v>
      </c>
      <c r="H344" s="3">
        <f>VLOOKUP(A344,'16-Michelle'!$A$2:$F$18,5,FALSE)</f>
        <v>3</v>
      </c>
      <c r="I344" s="3" t="str">
        <f>VLOOKUP(A344,'16-Michelle'!$A$2:$F$18,6,FALSE)</f>
        <v>-</v>
      </c>
      <c r="J344" s="3">
        <f>VLOOKUP(A344,'16-Michelle'!$A$1:$H$35,8,FALSE)</f>
        <v>0</v>
      </c>
    </row>
    <row r="345" spans="1:10" x14ac:dyDescent="0.35">
      <c r="A345" s="4" t="s">
        <v>399</v>
      </c>
      <c r="B345" s="4" t="s">
        <v>398</v>
      </c>
      <c r="C345" t="s">
        <v>54</v>
      </c>
      <c r="D345" s="3">
        <f>_xlfn.XLOOKUP(C345,'Territory List'!$D$2:$D$352,'Territory List'!$G$2:$G$352)</f>
        <v>16</v>
      </c>
      <c r="E345" s="10" t="str">
        <f>VLOOKUP(A345,'16-Michelle'!$A$2:$F$18,3,FALSE)</f>
        <v>-</v>
      </c>
      <c r="F345" s="10">
        <f>VLOOKUP(A345,'16-Michelle'!$A$1:$H$35,7,FALSE)</f>
        <v>0</v>
      </c>
      <c r="G345" s="3" t="str">
        <f>VLOOKUP(A345,'16-Michelle'!$A$2:$F$18,4,FALSE)</f>
        <v>-</v>
      </c>
      <c r="H345" s="3">
        <f>VLOOKUP(A345,'16-Michelle'!$A$2:$F$18,5,FALSE)</f>
        <v>3</v>
      </c>
      <c r="I345" s="3" t="str">
        <f>VLOOKUP(A345,'16-Michelle'!$A$2:$F$18,6,FALSE)</f>
        <v>-</v>
      </c>
      <c r="J345" s="3">
        <f>VLOOKUP(A345,'16-Michelle'!$A$1:$H$35,8,FALSE)</f>
        <v>0</v>
      </c>
    </row>
    <row r="346" spans="1:10" x14ac:dyDescent="0.35">
      <c r="A346" s="4" t="s">
        <v>397</v>
      </c>
      <c r="B346" s="4" t="s">
        <v>398</v>
      </c>
      <c r="C346" t="s">
        <v>54</v>
      </c>
      <c r="D346" s="3">
        <f>_xlfn.XLOOKUP(C346,'Territory List'!$D$2:$D$352,'Territory List'!$G$2:$G$352)</f>
        <v>16</v>
      </c>
      <c r="E346" s="10">
        <f>VLOOKUP(A346,'16-Michelle'!$A$2:$F$18,3,FALSE)</f>
        <v>46114</v>
      </c>
      <c r="F346" s="10">
        <f>VLOOKUP(A346,'16-Michelle'!$A$1:$H$35,7,FALSE)</f>
        <v>0</v>
      </c>
      <c r="G346" s="3" t="str">
        <f>VLOOKUP(A346,'16-Michelle'!$A$2:$F$18,4,FALSE)</f>
        <v>-</v>
      </c>
      <c r="H346" s="3">
        <f>VLOOKUP(A346,'16-Michelle'!$A$2:$F$18,5,FALSE)</f>
        <v>3</v>
      </c>
      <c r="I346" s="3" t="str">
        <f>VLOOKUP(A346,'16-Michelle'!$A$2:$F$18,6,FALSE)</f>
        <v>-</v>
      </c>
      <c r="J346" s="3">
        <f>VLOOKUP(A346,'16-Michelle'!$A$1:$H$35,8,FALSE)</f>
        <v>0</v>
      </c>
    </row>
    <row r="350" spans="1:10" x14ac:dyDescent="0.35">
      <c r="J350" s="3">
        <f>SUM(J2:J346)</f>
        <v>18</v>
      </c>
    </row>
  </sheetData>
  <autoFilter ref="A1:J346" xr:uid="{8712EB83-9E10-344E-B712-2BBA14F8E56B}">
    <sortState xmlns:xlrd2="http://schemas.microsoft.com/office/spreadsheetml/2017/richdata2" ref="A2:J346">
      <sortCondition ref="D1:D346"/>
    </sortState>
  </autoFilter>
  <conditionalFormatting sqref="A2:J346">
    <cfRule type="expression" dxfId="37" priority="2">
      <formula>ISNUMBER($F2)</formula>
    </cfRule>
  </conditionalFormatting>
  <conditionalFormatting sqref="A2:XFD390">
    <cfRule type="expression" dxfId="36" priority="1">
      <formula>$J2 = 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2"/>
  <sheetViews>
    <sheetView topLeftCell="B43" zoomScaleNormal="100" workbookViewId="0">
      <selection activeCell="H88" sqref="H88"/>
    </sheetView>
  </sheetViews>
  <sheetFormatPr defaultColWidth="8.81640625" defaultRowHeight="14.5" x14ac:dyDescent="0.35"/>
  <cols>
    <col min="1" max="1" width="0" hidden="1" customWidth="1"/>
    <col min="2" max="2" width="9"/>
    <col min="4" max="4" width="21.54296875" bestFit="1" customWidth="1"/>
    <col min="5" max="5" width="15.26953125" customWidth="1"/>
    <col min="6" max="6" width="10.54296875" style="3" customWidth="1"/>
    <col min="7" max="7" width="11.54296875" style="3" customWidth="1"/>
    <col min="8" max="8" width="47.54296875" bestFit="1" customWidth="1"/>
    <col min="9" max="14" width="40" customWidth="1"/>
  </cols>
  <sheetData>
    <row r="1" spans="1:15" x14ac:dyDescent="0.35">
      <c r="A1" t="s">
        <v>969</v>
      </c>
      <c r="B1" s="2" t="s">
        <v>0</v>
      </c>
      <c r="C1" s="2" t="s">
        <v>953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945</v>
      </c>
      <c r="I1" s="1" t="s">
        <v>946</v>
      </c>
      <c r="J1" s="1" t="s">
        <v>947</v>
      </c>
      <c r="K1" s="1" t="s">
        <v>948</v>
      </c>
      <c r="L1" s="1" t="s">
        <v>949</v>
      </c>
      <c r="M1" s="1" t="s">
        <v>950</v>
      </c>
      <c r="N1" s="1" t="s">
        <v>951</v>
      </c>
      <c r="O1" s="1"/>
    </row>
    <row r="2" spans="1:15" x14ac:dyDescent="0.35">
      <c r="B2" s="3" t="str" cm="1">
        <f t="array" ref="B2">IF(SUM(COUNTIF($H2:$N2,{"*TOWN OF*","*CITY OF*"}))&gt;0,"✓","")</f>
        <v/>
      </c>
      <c r="C2" s="3" t="str">
        <f>IF(AND($B2="",COUNTA($H2:$N2)&gt;0),"✓","")</f>
        <v>✓</v>
      </c>
      <c r="D2" t="s">
        <v>8</v>
      </c>
      <c r="E2" t="s">
        <v>6</v>
      </c>
      <c r="F2" s="3" t="s">
        <v>357</v>
      </c>
      <c r="G2" s="3">
        <v>1</v>
      </c>
      <c r="H2" t="str" cm="1">
        <f t="array" ref="H2:M2">IFERROR(
  _xlfn.LET(
    _xlpm.clean, _xlfn.LAMBDA(_xlpm.x, TRIM(SUBSTITUTE(_xlpm.x,CHAR(160)," "))),
    _xlpm.t, CLEAN($D2),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 spans="1:15" x14ac:dyDescent="0.35">
      <c r="B3" s="3" t="str" cm="1">
        <f t="array" ref="B3">IF(SUM(COUNTIF($H3:$N3,{"*TOWN OF*","*CITY OF*"}))&gt;0,"✓","")</f>
        <v>✓</v>
      </c>
      <c r="C3" s="3" t="str">
        <f t="shared" ref="C3:C66" si="0">IF(AND($B3="",COUNTA($H3:$N3)&gt;0),"✓","")</f>
        <v/>
      </c>
      <c r="D3" t="s">
        <v>9</v>
      </c>
      <c r="E3" t="s">
        <v>6</v>
      </c>
      <c r="F3" s="3" t="s">
        <v>357</v>
      </c>
      <c r="G3" s="3">
        <v>1</v>
      </c>
      <c r="H3" t="str" cm="1">
        <f t="array" ref="H3:M3">IFERROR(
  _xlfn.LET(
    _xlpm.clean, _xlfn.LAMBDA(_xlpm.x, TRIM(SUBSTITUTE(_xlpm.x,CHAR(160)," "))),
    _xlpm.t, CLEAN($D3),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BECKET, TOWN OF - 1/15/2026</v>
      </c>
      <c r="I3" t="str">
        <v>BECKET BROADBAND DISTRICT - 1/15/2026</v>
      </c>
      <c r="J3" t="str">
        <v/>
      </c>
      <c r="K3" t="str">
        <v/>
      </c>
      <c r="L3" t="str">
        <v/>
      </c>
      <c r="M3" t="str">
        <v/>
      </c>
    </row>
    <row r="4" spans="1:15" x14ac:dyDescent="0.35">
      <c r="B4" s="3" t="str" cm="1">
        <f t="array" ref="B4">IF(SUM(COUNTIF($H4:$N4,{"*TOWN OF*","*CITY OF*"}))&gt;0,"✓","")</f>
        <v>✓</v>
      </c>
      <c r="C4" s="3" t="str">
        <f t="shared" si="0"/>
        <v/>
      </c>
      <c r="D4" t="s">
        <v>10</v>
      </c>
      <c r="E4" t="s">
        <v>6</v>
      </c>
      <c r="F4" s="3" t="s">
        <v>283</v>
      </c>
      <c r="G4" s="3">
        <v>1</v>
      </c>
      <c r="H4" t="str" cm="1">
        <f t="array" ref="H4:M4">IFERROR(
  _xlfn.LET(
    _xlpm.clean, _xlfn.LAMBDA(_xlpm.x, TRIM(SUBSTITUTE(_xlpm.x,CHAR(160)," "))),
    _xlpm.t, CLEAN($D4),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BLANDFORD, TOWN OF - 12/10/2025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 spans="1:15" x14ac:dyDescent="0.35">
      <c r="B5" s="3" t="str" cm="1">
        <f t="array" ref="B5">IF(SUM(COUNTIF($H5:$N5,{"*TOWN OF*","*CITY OF*"}))&gt;0,"✓","")</f>
        <v>✓</v>
      </c>
      <c r="C5" s="3" t="str">
        <f t="shared" si="0"/>
        <v/>
      </c>
      <c r="D5" t="s">
        <v>13</v>
      </c>
      <c r="E5" t="s">
        <v>6</v>
      </c>
      <c r="F5" s="3" t="s">
        <v>283</v>
      </c>
      <c r="G5" s="3">
        <v>1</v>
      </c>
      <c r="H5" t="str" cm="1">
        <f t="array" ref="H5:M5">IFERROR(
  _xlfn.LET(
    _xlpm.clean, _xlfn.LAMBDA(_xlpm.x, TRIM(SUBSTITUTE(_xlpm.x,CHAR(160)," "))),
    _xlpm.t, CLEAN($D5),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CHESTER, TOWN OF - 12/10/2025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 spans="1:15" x14ac:dyDescent="0.35">
      <c r="B6" s="3" t="str" cm="1">
        <f t="array" ref="B6">IF(SUM(COUNTIF($H6:$N6,{"*TOWN OF*","*CITY OF*"}))&gt;0,"✓","")</f>
        <v>✓</v>
      </c>
      <c r="C6" s="3" t="str">
        <f t="shared" si="0"/>
        <v/>
      </c>
      <c r="D6" t="s">
        <v>17</v>
      </c>
      <c r="E6" t="s">
        <v>6</v>
      </c>
      <c r="F6" s="3" t="s">
        <v>357</v>
      </c>
      <c r="G6" s="3">
        <v>1</v>
      </c>
      <c r="H6" t="str" cm="1">
        <f t="array" ref="H6:M6">IFERROR(
  _xlfn.LET(
    _xlpm.clean, _xlfn.LAMBDA(_xlpm.x, TRIM(SUBSTITUTE(_xlpm.x,CHAR(160)," "))),
    _xlpm.t, CLEAN($D6),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EGREMONT, TOWN OF - 3/23/2025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 spans="1:15" x14ac:dyDescent="0.35">
      <c r="B7" s="3" t="str" cm="1">
        <f t="array" ref="B7">IF(SUM(COUNTIF($H7:$N7,{"*TOWN OF*","*CITY OF*"}))&gt;0,"✓","")</f>
        <v/>
      </c>
      <c r="C7" s="3" t="str">
        <f t="shared" si="0"/>
        <v>✓</v>
      </c>
      <c r="D7" t="s">
        <v>19</v>
      </c>
      <c r="E7" t="s">
        <v>6</v>
      </c>
      <c r="F7" s="3" t="s">
        <v>283</v>
      </c>
      <c r="G7" s="3">
        <v>1</v>
      </c>
      <c r="H7" t="str" cm="1">
        <f t="array" ref="H7:M7">IFERROR(
  _xlfn.LET(
    _xlpm.clean, _xlfn.LAMBDA(_xlpm.x, TRIM(SUBSTITUTE(_xlpm.x,CHAR(160)," "))),
    _xlpm.t, CLEAN($D7),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 spans="1:15" x14ac:dyDescent="0.35">
      <c r="B8" s="3" t="str" cm="1">
        <f t="array" ref="B8">IF(SUM(COUNTIF($H8:$N8,{"*TOWN OF*","*CITY OF*"}))&gt;0,"✓","")</f>
        <v>✓</v>
      </c>
      <c r="C8" s="3" t="str">
        <f t="shared" si="0"/>
        <v/>
      </c>
      <c r="D8" t="s">
        <v>20</v>
      </c>
      <c r="E8" t="s">
        <v>6</v>
      </c>
      <c r="F8" s="3" t="s">
        <v>357</v>
      </c>
      <c r="G8" s="3">
        <v>1</v>
      </c>
      <c r="H8" t="str" cm="1">
        <f t="array" ref="H8:M8">IFERROR(
  _xlfn.LET(
    _xlpm.clean, _xlfn.LAMBDA(_xlpm.x, TRIM(SUBSTITUTE(_xlpm.x,CHAR(160)," "))),
    _xlpm.t, CLEAN($D8),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GREAT BARRINGTON, TOWN OF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spans="1:15" x14ac:dyDescent="0.35">
      <c r="B9" s="3" t="str" cm="1">
        <f t="array" ref="B9">IF(SUM(COUNTIF($H9:$N9,{"*TOWN OF*","*CITY OF*"}))&gt;0,"✓","")</f>
        <v>✓</v>
      </c>
      <c r="C9" s="3" t="str">
        <f t="shared" si="0"/>
        <v/>
      </c>
      <c r="D9" t="s">
        <v>25</v>
      </c>
      <c r="E9" t="s">
        <v>6</v>
      </c>
      <c r="F9" s="3" t="s">
        <v>357</v>
      </c>
      <c r="G9" s="3">
        <v>1</v>
      </c>
      <c r="H9" t="str" cm="1">
        <f t="array" ref="H9:M9">IFERROR(
  _xlfn.LET(
    _xlpm.clean, _xlfn.LAMBDA(_xlpm.x, TRIM(SUBSTITUTE(_xlpm.x,CHAR(160)," "))),
    _xlpm.t, CLEAN($D9),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LEE, TOWN OF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 spans="1:15" x14ac:dyDescent="0.35">
      <c r="B10" s="3" t="str" cm="1">
        <f t="array" ref="B10">IF(SUM(COUNTIF($H10:$N10,{"*TOWN OF*","*CITY OF*"}))&gt;0,"✓","")</f>
        <v>✓</v>
      </c>
      <c r="C10" s="3" t="str">
        <f t="shared" si="0"/>
        <v/>
      </c>
      <c r="D10" t="s">
        <v>26</v>
      </c>
      <c r="E10" t="s">
        <v>6</v>
      </c>
      <c r="F10" s="3" t="s">
        <v>357</v>
      </c>
      <c r="G10" s="3">
        <v>1</v>
      </c>
      <c r="H10" t="str" cm="1">
        <f t="array" ref="H10:M10">IFERROR(
  _xlfn.LET(
    _xlpm.clean, _xlfn.LAMBDA(_xlpm.x, TRIM(SUBSTITUTE(_xlpm.x,CHAR(160)," "))),
    _xlpm.t, CLEAN($D10),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LENOX, TOWN OF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 spans="1:15" x14ac:dyDescent="0.35">
      <c r="B11" s="3" t="str" cm="1">
        <f t="array" ref="B11">IF(SUM(COUNTIF($H11:$N11,{"*TOWN OF*","*CITY OF*"}))&gt;0,"✓","")</f>
        <v>✓</v>
      </c>
      <c r="C11" s="3" t="str">
        <f t="shared" si="0"/>
        <v/>
      </c>
      <c r="D11" s="6" t="s">
        <v>29</v>
      </c>
      <c r="E11" t="s">
        <v>6</v>
      </c>
      <c r="F11" s="3" t="s">
        <v>357</v>
      </c>
      <c r="G11" s="3">
        <v>1</v>
      </c>
      <c r="H11" t="str" cm="1">
        <f t="array" ref="H11:M11">IFERROR(
  _xlfn.LET(
    _xlpm.clean, _xlfn.LAMBDA(_xlpm.x, TRIM(SUBSTITUTE(_xlpm.x,CHAR(160)," "))),
    _xlpm.t, CLEAN($D11),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MONTEREY, TOWN OF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 spans="1:15" x14ac:dyDescent="0.35">
      <c r="B12" s="3" t="str" cm="1">
        <f t="array" ref="B12">IF(SUM(COUNTIF($H12:$N12,{"*TOWN OF*","*CITY OF*"}))&gt;0,"✓","")</f>
        <v/>
      </c>
      <c r="C12" s="3" t="str">
        <f t="shared" si="0"/>
        <v>✓</v>
      </c>
      <c r="D12" t="s">
        <v>30</v>
      </c>
      <c r="E12" t="s">
        <v>6</v>
      </c>
      <c r="F12" s="3" t="s">
        <v>357</v>
      </c>
      <c r="G12" s="3">
        <v>1</v>
      </c>
      <c r="H12" t="str" cm="1">
        <f t="array" ref="H12:M12">IFERROR(
  _xlfn.LET(
    _xlpm.clean, _xlfn.LAMBDA(_xlpm.x, TRIM(SUBSTITUTE(_xlpm.x,CHAR(160)," "))),
    _xlpm.t, CLEAN($D12),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 spans="1:15" x14ac:dyDescent="0.35">
      <c r="B13" s="3" t="str" cm="1">
        <f t="array" ref="B13">IF(SUM(COUNTIF($H13:$N13,{"*TOWN OF*","*CITY OF*"}))&gt;0,"✓","")</f>
        <v/>
      </c>
      <c r="C13" s="3" t="str">
        <f t="shared" si="0"/>
        <v>✓</v>
      </c>
      <c r="D13" t="s">
        <v>32</v>
      </c>
      <c r="E13" t="s">
        <v>6</v>
      </c>
      <c r="F13" s="3" t="s">
        <v>357</v>
      </c>
      <c r="G13" s="3">
        <v>1</v>
      </c>
      <c r="H13" t="str" cm="1">
        <f t="array" ref="H13:M13">IFERROR(
  _xlfn.LET(
    _xlpm.clean, _xlfn.LAMBDA(_xlpm.x, TRIM(SUBSTITUTE(_xlpm.x,CHAR(160)," "))),
    _xlpm.t, CLEAN($D13),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LAKE BUEL PRESERVATION DISTRICT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 spans="1:15" x14ac:dyDescent="0.35">
      <c r="B14" s="3" t="str" cm="1">
        <f t="array" ref="B14">IF(SUM(COUNTIF($H14:$N14,{"*TOWN OF*","*CITY OF*"}))&gt;0,"✓","")</f>
        <v>✓</v>
      </c>
      <c r="C14" s="3" t="str">
        <f t="shared" si="0"/>
        <v/>
      </c>
      <c r="D14" t="s">
        <v>34</v>
      </c>
      <c r="E14" t="s">
        <v>6</v>
      </c>
      <c r="F14" s="3" t="s">
        <v>357</v>
      </c>
      <c r="G14" s="3">
        <v>1</v>
      </c>
      <c r="H14" t="str" cm="1">
        <f t="array" ref="H14:M14">IFERROR(
  _xlfn.LET(
    _xlpm.clean, _xlfn.LAMBDA(_xlpm.x, TRIM(SUBSTITUTE(_xlpm.x,CHAR(160)," "))),
    _xlpm.t, CLEAN($D14),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OTIS, TOWN OF</v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 spans="1:15" x14ac:dyDescent="0.35">
      <c r="B15" s="3" t="str" cm="1">
        <f t="array" ref="B15">IF(SUM(COUNTIF($H15:$N15,{"*TOWN OF*","*CITY OF*"}))&gt;0,"✓","")</f>
        <v>✓</v>
      </c>
      <c r="C15" s="3" t="str">
        <f t="shared" si="0"/>
        <v/>
      </c>
      <c r="D15" t="s">
        <v>38</v>
      </c>
      <c r="E15" t="s">
        <v>6</v>
      </c>
      <c r="F15" s="3" t="s">
        <v>357</v>
      </c>
      <c r="G15" s="3">
        <v>1</v>
      </c>
      <c r="H15" t="str" cm="1">
        <f t="array" ref="H15:M15">IFERROR(
  _xlfn.LET(
    _xlpm.clean, _xlfn.LAMBDA(_xlpm.x, TRIM(SUBSTITUTE(_xlpm.x,CHAR(160)," "))),
    _xlpm.t, CLEAN($D15),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RICHMOND, TOWN OF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 spans="1:15" x14ac:dyDescent="0.35">
      <c r="B16" s="3" t="str" cm="1">
        <f t="array" ref="B16">IF(SUM(COUNTIF($H16:$N16,{"*TOWN OF*","*CITY OF*"}))&gt;0,"✓","")</f>
        <v/>
      </c>
      <c r="C16" s="3" t="str">
        <f t="shared" si="0"/>
        <v>✓</v>
      </c>
      <c r="D16" t="s">
        <v>40</v>
      </c>
      <c r="E16" t="s">
        <v>6</v>
      </c>
      <c r="F16" s="3" t="s">
        <v>283</v>
      </c>
      <c r="G16" s="3">
        <v>1</v>
      </c>
      <c r="H16" t="str" cm="1">
        <f t="array" ref="H16:M16">IFERROR(
  _xlfn.LET(
    _xlpm.clean, _xlfn.LAMBDA(_xlpm.x, TRIM(SUBSTITUTE(_xlpm.x,CHAR(160)," "))),
    _xlpm.t, CLEAN($D16),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spans="2:14" x14ac:dyDescent="0.35">
      <c r="B17" s="3" t="str" cm="1">
        <f t="array" ref="B17">IF(SUM(COUNTIF($H17:$N17,{"*TOWN OF*","*CITY OF*"}))&gt;0,"✓","")</f>
        <v/>
      </c>
      <c r="C17" s="3" t="str">
        <f t="shared" si="0"/>
        <v>✓</v>
      </c>
      <c r="D17" t="s">
        <v>41</v>
      </c>
      <c r="E17" t="s">
        <v>6</v>
      </c>
      <c r="F17" s="3" t="s">
        <v>357</v>
      </c>
      <c r="G17" s="3">
        <v>1</v>
      </c>
      <c r="H17" t="str" cm="1">
        <f t="array" ref="H17:M17">IFERROR(
  _xlfn.LET(
    _xlpm.clean, _xlfn.LAMBDA(_xlpm.x, TRIM(SUBSTITUTE(_xlpm.x,CHAR(160)," "))),
    _xlpm.t, CLEAN($D17),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 spans="2:14" x14ac:dyDescent="0.35">
      <c r="B18" s="3" t="str" cm="1">
        <f t="array" ref="B18">IF(SUM(COUNTIF($H18:$N18,{"*TOWN OF*","*CITY OF*"}))&gt;0,"✓","")</f>
        <v/>
      </c>
      <c r="C18" s="3" t="str">
        <f t="shared" si="0"/>
        <v>✓</v>
      </c>
      <c r="D18" t="s">
        <v>43</v>
      </c>
      <c r="E18" t="s">
        <v>6</v>
      </c>
      <c r="F18" s="3" t="s">
        <v>357</v>
      </c>
      <c r="G18" s="3">
        <v>1</v>
      </c>
      <c r="H18" t="str" cm="1">
        <f t="array" ref="H18:M18">IFERROR(
  _xlfn.LET(
    _xlpm.clean, _xlfn.LAMBDA(_xlpm.x, TRIM(SUBSTITUTE(_xlpm.x,CHAR(160)," "))),
    _xlpm.t, CLEAN($D18),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 spans="2:14" x14ac:dyDescent="0.35">
      <c r="B19" s="3" t="str" cm="1">
        <f t="array" ref="B19">IF(SUM(COUNTIF($H19:$N19,{"*TOWN OF*","*CITY OF*"}))&gt;0,"✓","")</f>
        <v>✓</v>
      </c>
      <c r="C19" s="3" t="str">
        <f t="shared" si="0"/>
        <v/>
      </c>
      <c r="D19" t="s">
        <v>44</v>
      </c>
      <c r="E19" t="s">
        <v>6</v>
      </c>
      <c r="F19" s="3" t="s">
        <v>357</v>
      </c>
      <c r="G19" s="3">
        <v>1</v>
      </c>
      <c r="H19" t="str" cm="1">
        <f t="array" ref="H19:M19">IFERROR(
  _xlfn.LET(
    _xlpm.clean, _xlfn.LAMBDA(_xlpm.x, TRIM(SUBSTITUTE(_xlpm.x,CHAR(160)," "))),
    _xlpm.t, CLEAN($D19),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STOCKBRIDGE, TOWN OF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 spans="2:14" x14ac:dyDescent="0.35">
      <c r="B20" s="3" t="str" cm="1">
        <f t="array" ref="B20">IF(SUM(COUNTIF($H20:$N20,{"*TOWN OF*","*CITY OF*"}))&gt;0,"✓","")</f>
        <v/>
      </c>
      <c r="C20" s="3" t="str">
        <f t="shared" si="0"/>
        <v>✓</v>
      </c>
      <c r="D20" t="s">
        <v>45</v>
      </c>
      <c r="E20" t="s">
        <v>6</v>
      </c>
      <c r="F20" s="3" t="s">
        <v>283</v>
      </c>
      <c r="G20" s="3">
        <v>1</v>
      </c>
      <c r="H20" t="str" cm="1">
        <f t="array" ref="H20:M20">IFERROR(
  _xlfn.LET(
    _xlpm.clean, _xlfn.LAMBDA(_xlpm.x, TRIM(SUBSTITUTE(_xlpm.x,CHAR(160)," "))),
    _xlpm.t, CLEAN($D20),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 spans="2:14" x14ac:dyDescent="0.35">
      <c r="B21" s="3" t="str" cm="1">
        <f t="array" ref="B21">IF(SUM(COUNTIF($H21:$N21,{"*TOWN OF*","*CITY OF*"}))&gt;0,"✓","")</f>
        <v/>
      </c>
      <c r="C21" s="3" t="str">
        <f t="shared" si="0"/>
        <v>✓</v>
      </c>
      <c r="D21" t="s">
        <v>46</v>
      </c>
      <c r="E21" t="s">
        <v>6</v>
      </c>
      <c r="F21" s="3" t="s">
        <v>357</v>
      </c>
      <c r="G21" s="3">
        <v>1</v>
      </c>
      <c r="H21" t="str" cm="1">
        <f t="array" ref="H21:M21">IFERROR(
  _xlfn.LET(
    _xlpm.clean, _xlfn.LAMBDA(_xlpm.x, TRIM(SUBSTITUTE(_xlpm.x,CHAR(160)," "))),
    _xlpm.t, CLEAN($D21),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 spans="2:14" x14ac:dyDescent="0.35">
      <c r="B22" s="3" t="str" cm="1">
        <f t="array" ref="B22">IF(SUM(COUNTIF($H22:$N22,{"*TOWN OF*","*CITY OF*"}))&gt;0,"✓","")</f>
        <v>✓</v>
      </c>
      <c r="C22" s="3" t="str">
        <f t="shared" si="0"/>
        <v/>
      </c>
      <c r="D22" t="s">
        <v>48</v>
      </c>
      <c r="E22" t="s">
        <v>6</v>
      </c>
      <c r="F22" s="3" t="s">
        <v>357</v>
      </c>
      <c r="G22" s="3">
        <v>1</v>
      </c>
      <c r="H22" t="str" cm="1">
        <f t="array" ref="H22:M22">IFERROR(
  _xlfn.LET(
    _xlpm.clean, _xlfn.LAMBDA(_xlpm.x, TRIM(SUBSTITUTE(_xlpm.x,CHAR(160)," "))),
    _xlpm.t, CLEAN($D22),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 STOCKBRIDGE, TOWN OF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 spans="2:14" x14ac:dyDescent="0.35">
      <c r="B23" s="3" t="str" cm="1">
        <f t="array" ref="B23">IF(SUM(COUNTIF($H23:$N23,{"*TOWN OF*","*CITY OF*"}))&gt;0,"✓","")</f>
        <v/>
      </c>
      <c r="C23" s="3" t="str">
        <f t="shared" si="0"/>
        <v>✓</v>
      </c>
      <c r="D23" t="s">
        <v>27</v>
      </c>
      <c r="E23" t="s">
        <v>6</v>
      </c>
      <c r="F23" s="3" t="s">
        <v>358</v>
      </c>
      <c r="G23" s="3">
        <v>1</v>
      </c>
      <c r="H23" t="str" cm="1">
        <f t="array" ref="H23:M23">IFERROR(
  _xlfn.LET(
    _xlpm.clean, _xlfn.LAMBDA(_xlpm.x, TRIM(SUBSTITUTE(_xlpm.x,CHAR(160)," "))),
    _xlpm.t, CLEAN($D23),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 spans="2:14" x14ac:dyDescent="0.35">
      <c r="B24" s="3" t="str" cm="1">
        <f t="array" ref="B24">IF(SUM(COUNTIF($H24:$N24,{"*TOWN OF*","*CITY OF*"}))&gt;0,"✓","")</f>
        <v/>
      </c>
      <c r="C24" s="3" t="str">
        <f t="shared" si="0"/>
        <v>✓</v>
      </c>
      <c r="D24" t="s">
        <v>47</v>
      </c>
      <c r="E24" t="s">
        <v>6</v>
      </c>
      <c r="F24" s="3" t="s">
        <v>357</v>
      </c>
      <c r="G24" s="3">
        <v>1</v>
      </c>
      <c r="H24" t="str" cm="1">
        <f t="array" ref="H24:M24">IFERROR(
  _xlfn.LET(
    _xlpm.clean, _xlfn.LAMBDA(_xlpm.x, TRIM(SUBSTITUTE(_xlpm.x,CHAR(160)," "))),
    _xlpm.t, CLEAN($D24),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 spans="2:14" x14ac:dyDescent="0.35">
      <c r="B25" s="3" t="str" cm="1">
        <f t="array" ref="B25">IF(SUM(COUNTIF($H25:$N25,{"*TOWN OF*","*CITY OF*"}))&gt;0,"✓","")</f>
        <v/>
      </c>
      <c r="C25" s="3" t="str">
        <f t="shared" si="0"/>
        <v>✓</v>
      </c>
      <c r="D25" t="s">
        <v>51</v>
      </c>
      <c r="E25" t="s">
        <v>6</v>
      </c>
      <c r="F25" s="3" t="s">
        <v>358</v>
      </c>
      <c r="G25" s="3">
        <v>1</v>
      </c>
      <c r="H25" t="str" cm="1">
        <f t="array" ref="H25:M25">IFERROR(
  _xlfn.LET(
    _xlpm.clean, _xlfn.LAMBDA(_xlpm.x, TRIM(SUBSTITUTE(_xlpm.x,CHAR(160)," "))),
    _xlpm.t, CLEAN($D25),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 spans="2:14" x14ac:dyDescent="0.35">
      <c r="B26" s="3" t="str" cm="1">
        <f t="array" ref="B26">IF(SUM(COUNTIF($H26:$N26,{"*TOWN OF*","*CITY OF*"}))&gt;0,"✓","")</f>
        <v/>
      </c>
      <c r="C26" s="3" t="str">
        <f t="shared" si="0"/>
        <v>✓</v>
      </c>
      <c r="D26" t="s">
        <v>11</v>
      </c>
      <c r="E26" t="s">
        <v>6</v>
      </c>
      <c r="F26" s="3" t="s">
        <v>240</v>
      </c>
      <c r="G26" s="3">
        <v>2</v>
      </c>
      <c r="H26" t="str" cm="1">
        <f t="array" ref="H26:M26">IFERROR(
  _xlfn.LET(
    _xlpm.clean, _xlfn.LAMBDA(_xlpm.x, TRIM(SUBSTITUTE(_xlpm.x,CHAR(160)," "))),
    _xlpm.t, CLEAN($D26),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 spans="2:14" x14ac:dyDescent="0.35">
      <c r="B27" s="3" t="str" cm="1">
        <f t="array" ref="B27">IF(SUM(COUNTIF($H27:$N27,{"*TOWN OF*","*CITY OF*"}))&gt;0,"✓","")</f>
        <v/>
      </c>
      <c r="C27" s="3" t="str">
        <f t="shared" si="0"/>
        <v>✓</v>
      </c>
      <c r="D27" t="s">
        <v>28</v>
      </c>
      <c r="E27" t="s">
        <v>6</v>
      </c>
      <c r="F27" s="3" t="s">
        <v>240</v>
      </c>
      <c r="G27" s="3">
        <v>2</v>
      </c>
      <c r="H27" t="str" cm="1">
        <f t="array" ref="H27:M27">IFERROR(
  _xlfn.LET(
    _xlpm.clean, _xlfn.LAMBDA(_xlpm.x, TRIM(SUBSTITUTE(_xlpm.x,CHAR(160)," "))),
    _xlpm.t, CLEAN($D27),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 spans="2:14" x14ac:dyDescent="0.35">
      <c r="B28" s="3" t="str" cm="1">
        <f t="array" ref="B28">IF(SUM(COUNTIF($H28:$N28,{"*TOWN OF*","*CITY OF*"}))&gt;0,"✓","")</f>
        <v>✓</v>
      </c>
      <c r="C28" s="3" t="str">
        <f t="shared" si="0"/>
        <v/>
      </c>
      <c r="D28" t="s">
        <v>39</v>
      </c>
      <c r="E28" t="s">
        <v>6</v>
      </c>
      <c r="F28" s="3" t="s">
        <v>240</v>
      </c>
      <c r="G28" s="3">
        <v>2</v>
      </c>
      <c r="H28" t="str" cm="1">
        <f t="array" ref="H28:M28">IFERROR(
  _xlfn.LET(
    _xlpm.clean, _xlfn.LAMBDA(_xlpm.x, TRIM(SUBSTITUTE(_xlpm.x,CHAR(160)," "))),
    _xlpm.t, CLEAN($D28),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ROWE, TOWN OF - 3/18/2026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 spans="2:14" x14ac:dyDescent="0.35">
      <c r="B29" s="3" t="str" cm="1">
        <f t="array" ref="B29">IF(SUM(COUNTIF($H29:$N29,{"*TOWN OF*","*CITY OF*"}))&gt;0,"✓","")</f>
        <v>✓</v>
      </c>
      <c r="C29" s="3" t="str">
        <f t="shared" si="0"/>
        <v/>
      </c>
      <c r="D29" t="s">
        <v>7</v>
      </c>
      <c r="E29" t="s">
        <v>6</v>
      </c>
      <c r="F29" s="3" t="s">
        <v>357</v>
      </c>
      <c r="G29" s="3">
        <v>2</v>
      </c>
      <c r="H29" t="str" cm="1">
        <f t="array" ref="H29:M29">IFERROR(
  _xlfn.LET(
    _xlpm.clean, _xlfn.LAMBDA(_xlpm.x, TRIM(SUBSTITUTE(_xlpm.x,CHAR(160)," "))),
    _xlpm.t, CLEAN($D29),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ADAMS, TOWN OF - 1/28/2026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 spans="2:14" x14ac:dyDescent="0.35">
      <c r="B30" s="3" t="str" cm="1">
        <f t="array" ref="B30">IF(SUM(COUNTIF($H30:$N30,{"*TOWN OF*","*CITY OF*"}))&gt;0,"✓","")</f>
        <v>✓</v>
      </c>
      <c r="C30" s="3" t="str">
        <f t="shared" si="0"/>
        <v/>
      </c>
      <c r="D30" t="s">
        <v>12</v>
      </c>
      <c r="E30" t="s">
        <v>6</v>
      </c>
      <c r="F30" s="3" t="s">
        <v>357</v>
      </c>
      <c r="G30" s="3">
        <v>2</v>
      </c>
      <c r="H30" t="str" cm="1">
        <f t="array" ref="H30:M30">IFERROR(
  _xlfn.LET(
    _xlpm.clean, _xlfn.LAMBDA(_xlpm.x, TRIM(SUBSTITUTE(_xlpm.x,CHAR(160)," "))),
    _xlpm.t, CLEAN($D30),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CHESHIRE, TOWN OF - 4/28/2026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 spans="2:14" x14ac:dyDescent="0.35">
      <c r="B31" s="3" t="str" cm="1">
        <f t="array" ref="B31">IF(SUM(COUNTIF($H31:$N31,{"*TOWN OF*","*CITY OF*"}))&gt;0,"✓","")</f>
        <v/>
      </c>
      <c r="C31" s="3" t="str">
        <f t="shared" si="0"/>
        <v>✓</v>
      </c>
      <c r="D31" t="s">
        <v>14</v>
      </c>
      <c r="E31" t="s">
        <v>6</v>
      </c>
      <c r="F31" s="3" t="s">
        <v>357</v>
      </c>
      <c r="G31" s="3">
        <v>2</v>
      </c>
      <c r="H31" t="str" cm="1">
        <f t="array" ref="H31:M31">IFERROR(
  _xlfn.LET(
    _xlpm.clean, _xlfn.LAMBDA(_xlpm.x, TRIM(SUBSTITUTE(_xlpm.x,CHAR(160)," "))),
    _xlpm.t, CLEAN($D31),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 spans="2:14" s="6" customFormat="1" x14ac:dyDescent="0.35">
      <c r="B32" s="3" t="str" cm="1">
        <f t="array" ref="B32">IF(SUM(COUNTIF($H32:$N32,{"*TOWN OF*","*CITY OF*"}))&gt;0,"✓","")</f>
        <v>✓</v>
      </c>
      <c r="C32" s="3" t="str">
        <f t="shared" si="0"/>
        <v/>
      </c>
      <c r="D32" t="s">
        <v>15</v>
      </c>
      <c r="E32" t="s">
        <v>6</v>
      </c>
      <c r="F32" s="3" t="s">
        <v>358</v>
      </c>
      <c r="G32" s="3">
        <v>2</v>
      </c>
      <c r="H32" t="str" cm="1">
        <f t="array" ref="H32:M32">IFERROR(
  _xlfn.LET(
    _xlpm.clean, _xlfn.LAMBDA(_xlpm.x, TRIM(SUBSTITUTE(_xlpm.x,CHAR(160)," "))),
    _xlpm.t, CLEAN($D32),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CUMMINGTON, TOWN OF - 1/8/2026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/>
    </row>
    <row r="33" spans="2:14" x14ac:dyDescent="0.35">
      <c r="B33" s="3" t="str" cm="1">
        <f t="array" ref="B33">IF(SUM(COUNTIF($H33:$N33,{"*TOWN OF*","*CITY OF*"}))&gt;0,"✓","")</f>
        <v/>
      </c>
      <c r="C33" s="3" t="str">
        <f t="shared" si="0"/>
        <v>✓</v>
      </c>
      <c r="D33" t="s">
        <v>16</v>
      </c>
      <c r="E33" t="s">
        <v>6</v>
      </c>
      <c r="F33" s="3" t="s">
        <v>357</v>
      </c>
      <c r="G33" s="3">
        <v>2</v>
      </c>
      <c r="H33" t="str" cm="1">
        <f t="array" ref="H33:M33">IFERROR(
  _xlfn.LET(
    _xlpm.clean, _xlfn.LAMBDA(_xlpm.x, TRIM(SUBSTITUTE(_xlpm.x,CHAR(160)," "))),
    _xlpm.t, CLEAN($D33),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 spans="2:14" x14ac:dyDescent="0.35">
      <c r="B34" s="3" t="str" cm="1">
        <f t="array" ref="B34">IF(SUM(COUNTIF($H34:$N34,{"*TOWN OF*","*CITY OF*"}))&gt;0,"✓","")</f>
        <v/>
      </c>
      <c r="C34" s="3" t="str">
        <f t="shared" si="0"/>
        <v>✓</v>
      </c>
      <c r="D34" t="s">
        <v>18</v>
      </c>
      <c r="E34" t="s">
        <v>6</v>
      </c>
      <c r="F34" s="3" t="s">
        <v>357</v>
      </c>
      <c r="G34" s="3">
        <v>2</v>
      </c>
      <c r="H34" t="str" cm="1">
        <f t="array" ref="H34:M34">IFERROR(
  _xlfn.LET(
    _xlpm.clean, _xlfn.LAMBDA(_xlpm.x, TRIM(SUBSTITUTE(_xlpm.x,CHAR(160)," "))),
    _xlpm.t, CLEAN($D34),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 spans="2:14" x14ac:dyDescent="0.35">
      <c r="B35" s="3" t="str" cm="1">
        <f t="array" ref="B35">IF(SUM(COUNTIF($H35:$N35,{"*TOWN OF*","*CITY OF*"}))&gt;0,"✓","")</f>
        <v/>
      </c>
      <c r="C35" s="3" t="str">
        <f t="shared" si="0"/>
        <v>✓</v>
      </c>
      <c r="D35" t="s">
        <v>21</v>
      </c>
      <c r="E35" t="s">
        <v>6</v>
      </c>
      <c r="F35" s="3" t="s">
        <v>357</v>
      </c>
      <c r="G35" s="3">
        <v>2</v>
      </c>
      <c r="H35" t="str" cm="1">
        <f t="array" ref="H35:M35">IFERROR(
  _xlfn.LET(
    _xlpm.clean, _xlfn.LAMBDA(_xlpm.x, TRIM(SUBSTITUTE(_xlpm.x,CHAR(160)," "))),
    _xlpm.t, CLEAN($D35),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 spans="2:14" x14ac:dyDescent="0.35">
      <c r="B36" s="3" t="str" cm="1">
        <f t="array" ref="B36">IF(SUM(COUNTIF($H36:$N36,{"*TOWN OF*","*CITY OF*"}))&gt;0,"✓","")</f>
        <v/>
      </c>
      <c r="C36" s="3" t="str">
        <f t="shared" si="0"/>
        <v>✓</v>
      </c>
      <c r="D36" t="s">
        <v>22</v>
      </c>
      <c r="E36" t="s">
        <v>6</v>
      </c>
      <c r="F36" s="3" t="s">
        <v>240</v>
      </c>
      <c r="G36" s="3">
        <v>2</v>
      </c>
      <c r="H36" t="str" cm="1">
        <f t="array" ref="H36:M36">IFERROR(
  _xlfn.LET(
    _xlpm.clean, _xlfn.LAMBDA(_xlpm.x, TRIM(SUBSTITUTE(_xlpm.x,CHAR(160)," "))),
    _xlpm.t, CLEAN($D36),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 spans="2:14" x14ac:dyDescent="0.35">
      <c r="B37" s="3" t="str" cm="1">
        <f t="array" ref="B37">IF(SUM(COUNTIF($H37:$N37,{"*TOWN OF*","*CITY OF*"}))&gt;0,"✓","")</f>
        <v/>
      </c>
      <c r="C37" s="3" t="str">
        <f t="shared" si="0"/>
        <v>✓</v>
      </c>
      <c r="D37" t="s">
        <v>23</v>
      </c>
      <c r="E37" t="s">
        <v>6</v>
      </c>
      <c r="F37" s="3" t="s">
        <v>357</v>
      </c>
      <c r="G37" s="3">
        <v>2</v>
      </c>
      <c r="H37" t="str" cm="1">
        <f t="array" ref="H37:M37">IFERROR(
  _xlfn.LET(
    _xlpm.clean, _xlfn.LAMBDA(_xlpm.x, TRIM(SUBSTITUTE(_xlpm.x,CHAR(160)," "))),
    _xlpm.t, CLEAN($D37),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 spans="2:14" x14ac:dyDescent="0.35">
      <c r="B38" s="3" t="str" cm="1">
        <f t="array" ref="B38">IF(SUM(COUNTIF($H38:$N38,{"*TOWN OF*","*CITY OF*"}))&gt;0,"✓","")</f>
        <v>✓</v>
      </c>
      <c r="C38" s="3" t="str">
        <f t="shared" si="0"/>
        <v/>
      </c>
      <c r="D38" t="s">
        <v>24</v>
      </c>
      <c r="E38" t="s">
        <v>6</v>
      </c>
      <c r="F38" s="3" t="s">
        <v>357</v>
      </c>
      <c r="G38" s="3">
        <v>2</v>
      </c>
      <c r="H38" t="str" cm="1">
        <f t="array" ref="H38:M38">IFERROR(
  _xlfn.LET(
    _xlpm.clean, _xlfn.LAMBDA(_xlpm.x, TRIM(SUBSTITUTE(_xlpm.x,CHAR(160)," "))),
    _xlpm.t, CLEAN($D38),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LANESBOROUGH, TOWN OF</v>
      </c>
      <c r="I38" t="str">
        <v>LANESBOROUGH VILLAGE FIRE &amp; WATER DISTRICT</v>
      </c>
      <c r="J38" t="str">
        <v/>
      </c>
      <c r="K38" t="str">
        <v/>
      </c>
      <c r="L38" t="str">
        <v/>
      </c>
      <c r="M38" t="str">
        <v/>
      </c>
    </row>
    <row r="39" spans="2:14" x14ac:dyDescent="0.35">
      <c r="B39" s="3" t="str" cm="1">
        <f t="array" ref="B39">IF(SUM(COUNTIF($H39:$N39,{"*TOWN OF*","*CITY OF*"}))&gt;0,"✓","")</f>
        <v/>
      </c>
      <c r="C39" s="3" t="str">
        <f t="shared" si="0"/>
        <v>✓</v>
      </c>
      <c r="D39" t="s">
        <v>31</v>
      </c>
      <c r="E39" t="s">
        <v>6</v>
      </c>
      <c r="F39" s="3" t="s">
        <v>357</v>
      </c>
      <c r="G39" s="3">
        <v>2</v>
      </c>
      <c r="H39" t="str" cm="1">
        <f t="array" ref="H39:M39">IFERROR(
  _xlfn.LET(
    _xlpm.clean, _xlfn.LAMBDA(_xlpm.x, TRIM(SUBSTITUTE(_xlpm.x,CHAR(160)," "))),
    _xlpm.t, CLEAN($D39),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 spans="2:14" x14ac:dyDescent="0.35">
      <c r="B40" s="3" t="str" cm="1">
        <f t="array" ref="B40">IF(SUM(COUNTIF($H40:$N40,{"*TOWN OF*","*CITY OF*"}))&gt;0,"✓","")</f>
        <v>✓</v>
      </c>
      <c r="C40" s="3" t="str">
        <f t="shared" si="0"/>
        <v/>
      </c>
      <c r="D40" t="s">
        <v>33</v>
      </c>
      <c r="E40" t="s">
        <v>5</v>
      </c>
      <c r="F40" s="3" t="s">
        <v>357</v>
      </c>
      <c r="G40" s="3">
        <v>2</v>
      </c>
      <c r="H40" t="str" cm="1">
        <f t="array" ref="H40:M40">IFERROR(
  _xlfn.LET(
    _xlpm.clean, _xlfn.LAMBDA(_xlpm.x, TRIM(SUBSTITUTE(_xlpm.x,CHAR(160)," "))),
    _xlpm.t, CLEAN($D40),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ADAMS, CITY OF - 3/18/2026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 spans="2:14" x14ac:dyDescent="0.35">
      <c r="B41" s="3" t="str" cm="1">
        <f t="array" ref="B41">IF(SUM(COUNTIF($H41:$N41,{"*TOWN OF*","*CITY OF*"}))&gt;0,"✓","")</f>
        <v/>
      </c>
      <c r="C41" s="3" t="str">
        <f t="shared" si="0"/>
        <v>✓</v>
      </c>
      <c r="D41" t="s">
        <v>35</v>
      </c>
      <c r="E41" t="s">
        <v>6</v>
      </c>
      <c r="F41" s="3" t="s">
        <v>357</v>
      </c>
      <c r="G41" s="3">
        <v>2</v>
      </c>
      <c r="H41" t="str" cm="1">
        <f t="array" ref="H41:M41">IFERROR(
  _xlfn.LET(
    _xlpm.clean, _xlfn.LAMBDA(_xlpm.x, TRIM(SUBSTITUTE(_xlpm.x,CHAR(160)," "))),
    _xlpm.t, CLEAN($D41),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 spans="2:14" x14ac:dyDescent="0.35">
      <c r="B42" s="3" t="str" cm="1">
        <f t="array" ref="B42">IF(SUM(COUNTIF($H42:$N42,{"*TOWN OF*","*CITY OF*"}))&gt;0,"✓","")</f>
        <v>✓</v>
      </c>
      <c r="C42" s="3" t="str">
        <f t="shared" si="0"/>
        <v/>
      </c>
      <c r="D42" t="s">
        <v>36</v>
      </c>
      <c r="E42" t="s">
        <v>5</v>
      </c>
      <c r="F42" s="3" t="s">
        <v>357</v>
      </c>
      <c r="G42" s="3">
        <v>2</v>
      </c>
      <c r="H42" t="str" cm="1">
        <f t="array" ref="H42:M42">IFERROR(
  _xlfn.LET(
    _xlpm.clean, _xlfn.LAMBDA(_xlpm.x, TRIM(SUBSTITUTE(_xlpm.x,CHAR(160)," "))),
    _xlpm.t, CLEAN($D42),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PITTSFIELD, CITY OF - 3/27/2026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 spans="2:14" x14ac:dyDescent="0.35">
      <c r="B43" s="3" t="str" cm="1">
        <f t="array" ref="B43">IF(SUM(COUNTIF($H43:$N43,{"*TOWN OF*","*CITY OF*"}))&gt;0,"✓","")</f>
        <v/>
      </c>
      <c r="C43" s="3" t="str">
        <f t="shared" si="0"/>
        <v>✓</v>
      </c>
      <c r="D43" s="6" t="s">
        <v>37</v>
      </c>
      <c r="E43" s="6" t="s">
        <v>6</v>
      </c>
      <c r="F43" s="5" t="s">
        <v>358</v>
      </c>
      <c r="G43" s="3">
        <v>2</v>
      </c>
      <c r="H43" t="str" cm="1">
        <f t="array" ref="H43:M43">IFERROR(
  _xlfn.LET(
    _xlpm.clean, _xlfn.LAMBDA(_xlpm.x, TRIM(SUBSTITUTE(_xlpm.x,CHAR(160)," "))),
    _xlpm.t, CLEAN($D43),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43" s="6" t="str">
        <v/>
      </c>
      <c r="J43" s="6" t="str">
        <v/>
      </c>
      <c r="K43" s="6" t="str">
        <v/>
      </c>
      <c r="L43" s="6" t="str">
        <v/>
      </c>
      <c r="M43" s="6" t="str">
        <v/>
      </c>
      <c r="N43" s="6"/>
    </row>
    <row r="44" spans="2:14" x14ac:dyDescent="0.35">
      <c r="B44" s="3" t="str" cm="1">
        <f t="array" ref="B44">IF(SUM(COUNTIF($H44:$N44,{"*TOWN OF*","*CITY OF*"}))&gt;0,"✓","")</f>
        <v/>
      </c>
      <c r="C44" s="3" t="str">
        <f t="shared" si="0"/>
        <v>✓</v>
      </c>
      <c r="D44" t="s">
        <v>42</v>
      </c>
      <c r="E44" t="s">
        <v>6</v>
      </c>
      <c r="F44" s="3" t="s">
        <v>357</v>
      </c>
      <c r="G44" s="3">
        <v>2</v>
      </c>
      <c r="H44" t="str" cm="1">
        <f t="array" ref="H44:M44">IFERROR(
  _xlfn.LET(
    _xlpm.clean, _xlfn.LAMBDA(_xlpm.x, TRIM(SUBSTITUTE(_xlpm.x,CHAR(160)," "))),
    _xlpm.t, CLEAN($D44),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 spans="2:14" x14ac:dyDescent="0.35">
      <c r="B45" s="3" t="str" cm="1">
        <f t="array" ref="B45">IF(SUM(COUNTIF($H45:$N45,{"*TOWN OF*","*CITY OF*"}))&gt;0,"✓","")</f>
        <v>✓</v>
      </c>
      <c r="C45" s="3" t="str">
        <f t="shared" si="0"/>
        <v/>
      </c>
      <c r="D45" t="s">
        <v>49</v>
      </c>
      <c r="E45" t="s">
        <v>6</v>
      </c>
      <c r="F45" s="3" t="s">
        <v>357</v>
      </c>
      <c r="G45" s="3">
        <v>2</v>
      </c>
      <c r="H45" t="str" cm="1">
        <f t="array" ref="H45:M45">IFERROR(
  _xlfn.LET(
    _xlpm.clean, _xlfn.LAMBDA(_xlpm.x, TRIM(SUBSTITUTE(_xlpm.x,CHAR(160)," "))),
    _xlpm.t, CLEAN($D45),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WILLIAMSTOWN, TOWN OF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 spans="2:14" x14ac:dyDescent="0.35">
      <c r="B46" s="3" t="str" cm="1">
        <f t="array" ref="B46">IF(SUM(COUNTIF($H46:$N46,{"*TOWN OF*","*CITY OF*"}))&gt;0,"✓","")</f>
        <v>✓</v>
      </c>
      <c r="C46" s="3" t="str">
        <f t="shared" si="0"/>
        <v/>
      </c>
      <c r="D46" t="s">
        <v>50</v>
      </c>
      <c r="E46" t="s">
        <v>6</v>
      </c>
      <c r="F46" s="3" t="s">
        <v>357</v>
      </c>
      <c r="G46" s="3">
        <v>2</v>
      </c>
      <c r="H46" t="str" cm="1">
        <f t="array" ref="H46:M46">IFERROR(
  _xlfn.LET(
    _xlpm.clean, _xlfn.LAMBDA(_xlpm.x, TRIM(SUBSTITUTE(_xlpm.x,CHAR(160)," "))),
    _xlpm.t, CLEAN($D46),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WINDSOR, TOWN OF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 spans="2:14" x14ac:dyDescent="0.35">
      <c r="B47" s="3" t="str" cm="1">
        <f t="array" ref="B47">IF(SUM(COUNTIF($H47:$N47,{"*TOWN OF*","*CITY OF*"}))&gt;0,"✓","")</f>
        <v>✓</v>
      </c>
      <c r="C47" s="3" t="str">
        <f t="shared" si="0"/>
        <v/>
      </c>
      <c r="D47" t="s">
        <v>318</v>
      </c>
      <c r="E47" t="s">
        <v>6</v>
      </c>
      <c r="F47" s="3" t="s">
        <v>358</v>
      </c>
      <c r="G47" s="3">
        <v>3</v>
      </c>
      <c r="H47" t="str" cm="1">
        <f t="array" ref="H47:M47">IFERROR(
  _xlfn.LET(
    _xlpm.clean, _xlfn.LAMBDA(_xlpm.x, TRIM(SUBSTITUTE(_xlpm.x,CHAR(160)," "))),
    _xlpm.t, CLEAN($D47),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CHESTERFIELD, TOWN OF - 5/26/2026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 spans="2:14" x14ac:dyDescent="0.35">
      <c r="B48" s="3" t="str" cm="1">
        <f t="array" ref="B48">IF(SUM(COUNTIF($H48:$N48,{"*TOWN OF*","*CITY OF*"}))&gt;0,"✓","")</f>
        <v/>
      </c>
      <c r="C48" s="3" t="str">
        <f t="shared" si="0"/>
        <v>✓</v>
      </c>
      <c r="D48" t="s">
        <v>332</v>
      </c>
      <c r="E48" t="s">
        <v>6</v>
      </c>
      <c r="F48" s="3" t="s">
        <v>358</v>
      </c>
      <c r="G48" s="3">
        <v>3</v>
      </c>
      <c r="H48" t="str" cm="1">
        <f t="array" ref="H48:M48">IFERROR(
  _xlfn.LET(
    _xlpm.clean, _xlfn.LAMBDA(_xlpm.x, TRIM(SUBSTITUTE(_xlpm.x,CHAR(160)," "))),
    _xlpm.t, CLEAN($D48),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 spans="2:14" x14ac:dyDescent="0.35">
      <c r="B49" s="3" t="str" cm="1">
        <f t="array" ref="B49">IF(SUM(COUNTIF($H49:$N49,{"*TOWN OF*","*CITY OF*"}))&gt;0,"✓","")</f>
        <v/>
      </c>
      <c r="C49" s="3" t="str">
        <f t="shared" si="0"/>
        <v>✓</v>
      </c>
      <c r="D49" t="s">
        <v>337</v>
      </c>
      <c r="E49" t="s">
        <v>6</v>
      </c>
      <c r="F49" s="3" t="s">
        <v>283</v>
      </c>
      <c r="G49" s="3">
        <v>3</v>
      </c>
      <c r="H49" t="str" cm="1">
        <f t="array" ref="H49:M49">IFERROR(
  _xlfn.LET(
    _xlpm.clean, _xlfn.LAMBDA(_xlpm.x, TRIM(SUBSTITUTE(_xlpm.x,CHAR(160)," "))),
    _xlpm.t, CLEAN($D49),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 spans="2:14" x14ac:dyDescent="0.35">
      <c r="B50" s="3" t="str" cm="1">
        <f t="array" ref="B50">IF(SUM(COUNTIF($H50:$N50,{"*TOWN OF*","*CITY OF*"}))&gt;0,"✓","")</f>
        <v>✓</v>
      </c>
      <c r="C50" s="3" t="str">
        <f t="shared" si="0"/>
        <v/>
      </c>
      <c r="D50" t="s">
        <v>313</v>
      </c>
      <c r="E50" t="s">
        <v>5</v>
      </c>
      <c r="F50" s="3" t="s">
        <v>283</v>
      </c>
      <c r="G50" s="3">
        <v>3</v>
      </c>
      <c r="H50" t="str" cm="1">
        <f t="array" ref="H50:M50">IFERROR(
  _xlfn.LET(
    _xlpm.clean, _xlfn.LAMBDA(_xlpm.x, TRIM(SUBSTITUTE(_xlpm.x,CHAR(160)," "))),
    _xlpm.t, CLEAN($D50),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SPRINGFIELD WATER AND SEWER COMMISSION - 6/22/2026</v>
      </c>
      <c r="I50" t="str">
        <v>AGAWAM, TOWN OF</v>
      </c>
      <c r="J50" t="str">
        <v/>
      </c>
      <c r="K50" t="str">
        <v/>
      </c>
      <c r="L50" t="str">
        <v/>
      </c>
      <c r="M50" t="str">
        <v/>
      </c>
    </row>
    <row r="51" spans="2:14" x14ac:dyDescent="0.35">
      <c r="B51" s="3" t="str" cm="1">
        <f t="array" ref="B51">IF(SUM(COUNTIF($H51:$N51,{"*TOWN OF*","*CITY OF*"}))&gt;0,"✓","")</f>
        <v/>
      </c>
      <c r="C51" s="3" t="str">
        <f t="shared" si="0"/>
        <v>✓</v>
      </c>
      <c r="D51" t="s">
        <v>314</v>
      </c>
      <c r="E51" t="s">
        <v>5</v>
      </c>
      <c r="F51" s="3" t="s">
        <v>358</v>
      </c>
      <c r="G51" s="3">
        <v>3</v>
      </c>
      <c r="H51" t="str" cm="1">
        <f t="array" ref="H51:M51">IFERROR(
  _xlfn.LET(
    _xlpm.clean, _xlfn.LAMBDA(_xlpm.x, TRIM(SUBSTITUTE(_xlpm.x,CHAR(160)," "))),
    _xlpm.t, CLEAN($D51),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 spans="2:14" x14ac:dyDescent="0.35">
      <c r="B52" s="3" t="str" cm="1">
        <f t="array" ref="B52">IF(SUM(COUNTIF($H52:$N52,{"*TOWN OF*","*CITY OF*"}))&gt;0,"✓","")</f>
        <v>✓</v>
      </c>
      <c r="C52" s="3" t="str">
        <f t="shared" si="0"/>
        <v/>
      </c>
      <c r="D52" t="s">
        <v>319</v>
      </c>
      <c r="E52" t="s">
        <v>5</v>
      </c>
      <c r="F52" s="3" t="s">
        <v>283</v>
      </c>
      <c r="G52" s="3">
        <v>3</v>
      </c>
      <c r="H52" t="str" cm="1">
        <f t="array" ref="H52:M52">IFERROR(
  _xlfn.LET(
    _xlpm.clean, _xlfn.LAMBDA(_xlpm.x, TRIM(SUBSTITUTE(_xlpm.x,CHAR(160)," "))),
    _xlpm.t, CLEAN($D52),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CHICOPEE, CITY OF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 spans="2:14" x14ac:dyDescent="0.35">
      <c r="B53" s="3" t="str" cm="1">
        <f t="array" ref="B53">IF(SUM(COUNTIF($H53:$N53,{"*TOWN OF*","*CITY OF*"}))&gt;0,"✓","")</f>
        <v>✓</v>
      </c>
      <c r="C53" s="3" t="str">
        <f t="shared" si="0"/>
        <v/>
      </c>
      <c r="D53" t="s">
        <v>323</v>
      </c>
      <c r="E53" t="s">
        <v>5</v>
      </c>
      <c r="F53" s="3" t="s">
        <v>358</v>
      </c>
      <c r="G53" s="3">
        <v>3</v>
      </c>
      <c r="H53" t="str" cm="1">
        <f t="array" ref="H53:M53">IFERROR(
  _xlfn.LET(
    _xlpm.clean, _xlfn.LAMBDA(_xlpm.x, TRIM(SUBSTITUTE(_xlpm.x,CHAR(160)," "))),
    _xlpm.t, CLEAN($D53),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EASTHAMPTON, CITY OF</v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 spans="2:14" x14ac:dyDescent="0.35">
      <c r="B54" s="3" t="str" cm="1">
        <f t="array" ref="B54">IF(SUM(COUNTIF($H54:$N54,{"*TOWN OF*","*CITY OF*"}))&gt;0,"✓","")</f>
        <v>✓</v>
      </c>
      <c r="C54" s="3" t="str">
        <f t="shared" si="0"/>
        <v/>
      </c>
      <c r="D54" t="s">
        <v>328</v>
      </c>
      <c r="E54" t="s">
        <v>6</v>
      </c>
      <c r="F54" s="3" t="s">
        <v>358</v>
      </c>
      <c r="G54" s="3">
        <v>3</v>
      </c>
      <c r="H54" t="str" cm="1">
        <f t="array" ref="H54:M54">IFERROR(
  _xlfn.LET(
    _xlpm.clean, _xlfn.LAMBDA(_xlpm.x, TRIM(SUBSTITUTE(_xlpm.x,CHAR(160)," "))),
    _xlpm.t, CLEAN($D54),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HADLEY, TOWN OF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 spans="2:14" x14ac:dyDescent="0.35">
      <c r="B55" s="3" t="str" cm="1">
        <f t="array" ref="B55">IF(SUM(COUNTIF($H55:$N55,{"*TOWN OF*","*CITY OF*"}))&gt;0,"✓","")</f>
        <v>✓</v>
      </c>
      <c r="C55" s="3" t="str">
        <f t="shared" si="0"/>
        <v/>
      </c>
      <c r="D55" t="s">
        <v>329</v>
      </c>
      <c r="E55" t="s">
        <v>6</v>
      </c>
      <c r="F55" s="3" t="s">
        <v>358</v>
      </c>
      <c r="G55" s="3">
        <v>3</v>
      </c>
      <c r="H55" t="str" cm="1">
        <f t="array" ref="H55:M55">IFERROR(
  _xlfn.LET(
    _xlpm.clean, _xlfn.LAMBDA(_xlpm.x, TRIM(SUBSTITUTE(_xlpm.x,CHAR(160)," "))),
    _xlpm.t, CLEAN($D55),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HATFIELD, TOWN OF</v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 spans="2:14" x14ac:dyDescent="0.35">
      <c r="B56" s="3" t="str" cm="1">
        <f t="array" ref="B56">IF(SUM(COUNTIF($H56:$N56,{"*TOWN OF*","*CITY OF*"}))&gt;0,"✓","")</f>
        <v/>
      </c>
      <c r="C56" s="3" t="str">
        <f t="shared" si="0"/>
        <v>✓</v>
      </c>
      <c r="D56" t="s">
        <v>331</v>
      </c>
      <c r="E56" t="s">
        <v>5</v>
      </c>
      <c r="F56" s="3" t="s">
        <v>283</v>
      </c>
      <c r="G56" s="3">
        <v>3</v>
      </c>
      <c r="H56" t="str" cm="1">
        <f t="array" ref="H56:M56">IFERROR(
  _xlfn.LET(
    _xlpm.clean, _xlfn.LAMBDA(_xlpm.x, TRIM(SUBSTITUTE(_xlpm.x,CHAR(160)," "))),
    _xlpm.t, CLEAN($D56),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 spans="2:14" s="6" customFormat="1" x14ac:dyDescent="0.35">
      <c r="B57" s="3" t="str" cm="1">
        <f t="array" ref="B57">IF(SUM(COUNTIF($H57:$N57,{"*TOWN OF*","*CITY OF*"}))&gt;0,"✓","")</f>
        <v/>
      </c>
      <c r="C57" s="3" t="str">
        <f t="shared" si="0"/>
        <v>✓</v>
      </c>
      <c r="D57" t="s">
        <v>335</v>
      </c>
      <c r="E57" t="s">
        <v>6</v>
      </c>
      <c r="F57" s="3" t="s">
        <v>283</v>
      </c>
      <c r="G57" s="3">
        <v>3</v>
      </c>
      <c r="H57" t="str" cm="1">
        <f t="array" ref="H57:M57">IFERROR(
  _xlfn.LET(
    _xlpm.clean, _xlfn.LAMBDA(_xlpm.x, TRIM(SUBSTITUTE(_xlpm.x,CHAR(160)," "))),
    _xlpm.t, CLEAN($D57),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/>
    </row>
    <row r="58" spans="2:14" x14ac:dyDescent="0.35">
      <c r="B58" s="3" t="str" cm="1">
        <f t="array" ref="B58">IF(SUM(COUNTIF($H58:$N58,{"*TOWN OF*","*CITY OF*"}))&gt;0,"✓","")</f>
        <v>✓</v>
      </c>
      <c r="C58" s="3" t="str">
        <f t="shared" si="0"/>
        <v/>
      </c>
      <c r="D58" t="s">
        <v>339</v>
      </c>
      <c r="E58" t="s">
        <v>5</v>
      </c>
      <c r="F58" s="3" t="s">
        <v>358</v>
      </c>
      <c r="G58" s="3">
        <v>3</v>
      </c>
      <c r="H58" t="str" cm="1">
        <f t="array" ref="H58:M58">IFERROR(
  _xlfn.LET(
    _xlpm.clean, _xlfn.LAMBDA(_xlpm.x, TRIM(SUBSTITUTE(_xlpm.x,CHAR(160)," "))),
    _xlpm.t, CLEAN($D58),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NORTHAMPTON, CITY OF</v>
      </c>
      <c r="I58" t="str">
        <v>HIGHLAND VALLEY ELDER SERVICES</v>
      </c>
      <c r="J58" t="str">
        <v>FRIENDS OF FORBES LIBRARY</v>
      </c>
      <c r="K58" t="str">
        <v>FORBES LIBRARY - 2/23/2026</v>
      </c>
      <c r="L58" t="str">
        <v/>
      </c>
      <c r="M58" t="str">
        <v/>
      </c>
    </row>
    <row r="59" spans="2:14" x14ac:dyDescent="0.35">
      <c r="B59" s="3" t="str" cm="1">
        <f t="array" ref="B59">IF(SUM(COUNTIF($H59:$N59,{"*TOWN OF*","*CITY OF*"}))&gt;0,"✓","")</f>
        <v>✓</v>
      </c>
      <c r="C59" s="3" t="str">
        <f t="shared" si="0"/>
        <v/>
      </c>
      <c r="D59" t="s">
        <v>345</v>
      </c>
      <c r="E59" t="s">
        <v>6</v>
      </c>
      <c r="F59" s="3" t="s">
        <v>358</v>
      </c>
      <c r="G59" s="3">
        <v>3</v>
      </c>
      <c r="H59" t="str" cm="1">
        <f t="array" ref="H59:M59">IFERROR(
  _xlfn.LET(
    _xlpm.clean, _xlfn.LAMBDA(_xlpm.x, TRIM(SUBSTITUTE(_xlpm.x,CHAR(160)," "))),
    _xlpm.t, CLEAN($D59),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 HADLEY, TOWN OF - 1/29/2026</v>
      </c>
      <c r="I59" t="str">
        <v>SOUTH HADLEY FIRE DISTRICT #1</v>
      </c>
      <c r="J59" t="str">
        <v/>
      </c>
      <c r="K59" t="str">
        <v/>
      </c>
      <c r="L59" t="str">
        <v/>
      </c>
      <c r="M59" t="str">
        <v/>
      </c>
    </row>
    <row r="60" spans="2:14" x14ac:dyDescent="0.35">
      <c r="B60" s="3" t="str" cm="1">
        <f t="array" ref="B60">IF(SUM(COUNTIF($H60:$N60,{"*TOWN OF*","*CITY OF*"}))&gt;0,"✓","")</f>
        <v>✓</v>
      </c>
      <c r="C60" s="3" t="str">
        <f t="shared" si="0"/>
        <v/>
      </c>
      <c r="D60" t="s">
        <v>346</v>
      </c>
      <c r="E60" t="s">
        <v>6</v>
      </c>
      <c r="F60" s="3" t="s">
        <v>358</v>
      </c>
      <c r="G60" s="3">
        <v>3</v>
      </c>
      <c r="H60" t="str" cm="1">
        <f t="array" ref="H60:M60">IFERROR(
  _xlfn.LET(
    _xlpm.clean, _xlfn.LAMBDA(_xlpm.x, TRIM(SUBSTITUTE(_xlpm.x,CHAR(160)," "))),
    _xlpm.t, CLEAN($D60),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SOUTHAMPTON, TOWN OF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 spans="2:14" x14ac:dyDescent="0.35">
      <c r="B61" s="3" t="str" cm="1">
        <f t="array" ref="B61">IF(SUM(COUNTIF($H61:$N61,{"*TOWN OF*","*CITY OF*"}))&gt;0,"✓","")</f>
        <v>✓</v>
      </c>
      <c r="C61" s="3" t="str">
        <f t="shared" si="0"/>
        <v/>
      </c>
      <c r="D61" t="s">
        <v>347</v>
      </c>
      <c r="E61" t="s">
        <v>6</v>
      </c>
      <c r="F61" s="3" t="s">
        <v>283</v>
      </c>
      <c r="G61" s="3">
        <v>3</v>
      </c>
      <c r="H61" t="str" cm="1">
        <f t="array" ref="H61:M61">IFERROR(
  _xlfn.LET(
    _xlpm.clean, _xlfn.LAMBDA(_xlpm.x, TRIM(SUBSTITUTE(_xlpm.x,CHAR(160)," "))),
    _xlpm.t, CLEAN($D61),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SOUTHWICK, TOWN OF</v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 spans="2:14" x14ac:dyDescent="0.35">
      <c r="B62" s="3" t="str" cm="1">
        <f t="array" ref="B62">IF(SUM(COUNTIF($H62:$N62,{"*TOWN OF*","*CITY OF*"}))&gt;0,"✓","")</f>
        <v/>
      </c>
      <c r="C62" s="3" t="str">
        <f t="shared" si="0"/>
        <v>✓</v>
      </c>
      <c r="D62" t="s">
        <v>348</v>
      </c>
      <c r="E62" t="s">
        <v>5</v>
      </c>
      <c r="F62" s="3" t="s">
        <v>283</v>
      </c>
      <c r="G62" s="3">
        <v>3</v>
      </c>
      <c r="H62" t="str" cm="1">
        <f t="array" ref="H62:M62">IFERROR(
  _xlfn.LET(
    _xlpm.clean, _xlfn.LAMBDA(_xlpm.x, TRIM(SUBSTITUTE(_xlpm.x,CHAR(160)," "))),
    _xlpm.t, CLEAN($D62),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 spans="2:14" x14ac:dyDescent="0.35">
      <c r="B63" s="3" t="str" cm="1">
        <f t="array" ref="B63">IF(SUM(COUNTIF($H63:$N63,{"*TOWN OF*","*CITY OF*"}))&gt;0,"✓","")</f>
        <v>✓</v>
      </c>
      <c r="C63" s="3" t="str">
        <f t="shared" si="0"/>
        <v/>
      </c>
      <c r="D63" t="s">
        <v>349</v>
      </c>
      <c r="E63" t="s">
        <v>6</v>
      </c>
      <c r="F63" s="3" t="s">
        <v>240</v>
      </c>
      <c r="G63" s="3">
        <v>3</v>
      </c>
      <c r="H63" t="str" cm="1">
        <f t="array" ref="H63:M63">IFERROR(
  _xlfn.LET(
    _xlpm.clean, _xlfn.LAMBDA(_xlpm.x, TRIM(SUBSTITUTE(_xlpm.x,CHAR(160)," "))),
    _xlpm.t, CLEAN($D63),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SUNDERLAND, TOWN OF</v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 spans="2:14" x14ac:dyDescent="0.35">
      <c r="B64" s="3" t="str" cm="1">
        <f t="array" ref="B64">IF(SUM(COUNTIF($H64:$N64,{"*TOWN OF*","*CITY OF*"}))&gt;0,"✓","")</f>
        <v/>
      </c>
      <c r="C64" s="3" t="str">
        <f t="shared" si="0"/>
        <v>✓</v>
      </c>
      <c r="D64" t="s">
        <v>352</v>
      </c>
      <c r="E64" t="s">
        <v>5</v>
      </c>
      <c r="F64" s="3" t="s">
        <v>283</v>
      </c>
      <c r="G64" s="3">
        <v>3</v>
      </c>
      <c r="H64" t="str" cm="1">
        <f t="array" ref="H64:M64">IFERROR(
  _xlfn.LET(
    _xlpm.clean, _xlfn.LAMBDA(_xlpm.x, TRIM(SUBSTITUTE(_xlpm.x,CHAR(160)," "))),
    _xlpm.t, CLEAN($D64),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 spans="2:14" x14ac:dyDescent="0.35">
      <c r="B65" s="3" t="str" cm="1">
        <f t="array" ref="B65">IF(SUM(COUNTIF($H65:$N65,{"*TOWN OF*","*CITY OF*"}))&gt;0,"✓","")</f>
        <v/>
      </c>
      <c r="C65" s="3" t="str">
        <f t="shared" si="0"/>
        <v>✓</v>
      </c>
      <c r="D65" t="s">
        <v>353</v>
      </c>
      <c r="E65" t="s">
        <v>5</v>
      </c>
      <c r="F65" s="3" t="s">
        <v>283</v>
      </c>
      <c r="G65" s="3">
        <v>3</v>
      </c>
      <c r="H65" t="str" cm="1">
        <f t="array" ref="H65:M65">IFERROR(
  _xlfn.LET(
    _xlpm.clean, _xlfn.LAMBDA(_xlpm.x, TRIM(SUBSTITUTE(_xlpm.x,CHAR(160)," "))),
    _xlpm.t, CLEAN($D65),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 spans="2:14" x14ac:dyDescent="0.35">
      <c r="B66" s="3" t="str" cm="1">
        <f t="array" ref="B66">IF(SUM(COUNTIF($H66:$N66,{"*TOWN OF*","*CITY OF*"}))&gt;0,"✓","")</f>
        <v>✓</v>
      </c>
      <c r="C66" s="3" t="str">
        <f t="shared" si="0"/>
        <v/>
      </c>
      <c r="D66" t="s">
        <v>354</v>
      </c>
      <c r="E66" t="s">
        <v>6</v>
      </c>
      <c r="F66" s="3" t="s">
        <v>358</v>
      </c>
      <c r="G66" s="3">
        <v>3</v>
      </c>
      <c r="H66" t="str" cm="1">
        <f t="array" ref="H66:M66">IFERROR(
  _xlfn.LET(
    _xlpm.clean, _xlfn.LAMBDA(_xlpm.x, TRIM(SUBSTITUTE(_xlpm.x,CHAR(160)," "))),
    _xlpm.t, CLEAN($D66),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WESTHAMPTON, TOWN OF</v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 spans="2:14" x14ac:dyDescent="0.35">
      <c r="B67" s="3" t="str" cm="1">
        <f t="array" ref="B67">IF(SUM(COUNTIF($H67:$N67,{"*TOWN OF*","*CITY OF*"}))&gt;0,"✓","")</f>
        <v>✓</v>
      </c>
      <c r="C67" s="3" t="str">
        <f t="shared" ref="C67:C130" si="1">IF(AND($B67="",COUNTA($H67:$N67)&gt;0),"✓","")</f>
        <v/>
      </c>
      <c r="D67" t="s">
        <v>355</v>
      </c>
      <c r="E67" t="s">
        <v>6</v>
      </c>
      <c r="F67" s="3" t="s">
        <v>240</v>
      </c>
      <c r="G67" s="3">
        <v>3</v>
      </c>
      <c r="H67" t="str" cm="1">
        <f t="array" ref="H67:M67">IFERROR(
  _xlfn.LET(
    _xlpm.clean, _xlfn.LAMBDA(_xlpm.x, TRIM(SUBSTITUTE(_xlpm.x,CHAR(160)," "))),
    _xlpm.t, CLEAN($D67),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WHATELY, TOWN OF - 1/13/2026</v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 spans="2:14" x14ac:dyDescent="0.35">
      <c r="B68" s="3" t="str" cm="1">
        <f t="array" ref="B68">IF(SUM(COUNTIF($H68:$N68,{"*TOWN OF*","*CITY OF*"}))&gt;0,"✓","")</f>
        <v/>
      </c>
      <c r="C68" s="3" t="str">
        <f t="shared" si="1"/>
        <v>✓</v>
      </c>
      <c r="D68" t="s">
        <v>356</v>
      </c>
      <c r="E68" t="s">
        <v>6</v>
      </c>
      <c r="F68" s="3" t="s">
        <v>358</v>
      </c>
      <c r="G68" s="3">
        <v>3</v>
      </c>
      <c r="H68" t="str" cm="1">
        <f t="array" ref="H68:M68">IFERROR(
  _xlfn.LET(
    _xlpm.clean, _xlfn.LAMBDA(_xlpm.x, TRIM(SUBSTITUTE(_xlpm.x,CHAR(160)," "))),
    _xlpm.t, CLEAN($D68),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 spans="2:14" x14ac:dyDescent="0.35">
      <c r="B69" s="3" t="str" cm="1">
        <f t="array" ref="B69">IF(SUM(COUNTIF($H69:$N69,{"*TOWN OF*","*CITY OF*"}))&gt;0,"✓","")</f>
        <v>✓</v>
      </c>
      <c r="C69" s="3" t="str">
        <f t="shared" si="1"/>
        <v/>
      </c>
      <c r="D69" t="s">
        <v>315</v>
      </c>
      <c r="E69" t="s">
        <v>6</v>
      </c>
      <c r="F69" s="3" t="s">
        <v>240</v>
      </c>
      <c r="G69" s="3">
        <v>4</v>
      </c>
      <c r="H69" t="str" cm="1">
        <f t="array" ref="H69:M69">IFERROR(
  _xlfn.LET(
    _xlpm.clean, _xlfn.LAMBDA(_xlpm.x, TRIM(SUBSTITUTE(_xlpm.x,CHAR(160)," "))),
    _xlpm.t, CLEAN($D69),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ASHFIELD, TOWN OF</v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 spans="2:14" x14ac:dyDescent="0.35">
      <c r="B70" s="3" t="str" cm="1">
        <f t="array" ref="B70">IF(SUM(COUNTIF($H70:$N70,{"*TOWN OF*","*CITY OF*"}))&gt;0,"✓","")</f>
        <v>✓</v>
      </c>
      <c r="C70" s="3" t="str">
        <f t="shared" si="1"/>
        <v/>
      </c>
      <c r="D70" t="s">
        <v>316</v>
      </c>
      <c r="E70" t="s">
        <v>6</v>
      </c>
      <c r="F70" s="3" t="s">
        <v>240</v>
      </c>
      <c r="G70" s="3">
        <v>4</v>
      </c>
      <c r="H70" t="str" cm="1">
        <f t="array" ref="H70:M70">IFERROR(
  _xlfn.LET(
    _xlpm.clean, _xlfn.LAMBDA(_xlpm.x, TRIM(SUBSTITUTE(_xlpm.x,CHAR(160)," "))),
    _xlpm.t, CLEAN($D70),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BERNARDSTON, TOWN OF</v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 spans="2:14" x14ac:dyDescent="0.35">
      <c r="B71" s="3" t="str" cm="1">
        <f t="array" ref="B71">IF(SUM(COUNTIF($H71:$N71,{"*TOWN OF*","*CITY OF*"}))&gt;0,"✓","")</f>
        <v>✓</v>
      </c>
      <c r="C71" s="3" t="str">
        <f t="shared" si="1"/>
        <v/>
      </c>
      <c r="D71" s="6" t="s">
        <v>317</v>
      </c>
      <c r="E71" s="6" t="s">
        <v>6</v>
      </c>
      <c r="F71" s="5" t="s">
        <v>240</v>
      </c>
      <c r="G71" s="3">
        <v>4</v>
      </c>
      <c r="H71" t="str" cm="1">
        <f t="array" ref="H71:M71">IFERROR(
  _xlfn.LET(
    _xlpm.clean, _xlfn.LAMBDA(_xlpm.x, TRIM(SUBSTITUTE(_xlpm.x,CHAR(160)," "))),
    _xlpm.t, CLEAN($D71),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BUCKLAND, TOWN OF</v>
      </c>
      <c r="I71" s="6" t="str">
        <v/>
      </c>
      <c r="J71" s="6" t="str">
        <v/>
      </c>
      <c r="K71" s="6" t="str">
        <v/>
      </c>
      <c r="L71" s="6" t="str">
        <v/>
      </c>
      <c r="M71" s="6" t="str">
        <v/>
      </c>
      <c r="N71" s="6"/>
    </row>
    <row r="72" spans="2:14" x14ac:dyDescent="0.35">
      <c r="B72" s="3" t="str" cm="1">
        <f t="array" ref="B72">IF(SUM(COUNTIF($H72:$N72,{"*TOWN OF*","*CITY OF*"}))&gt;0,"✓","")</f>
        <v>✓</v>
      </c>
      <c r="C72" s="3" t="str">
        <f t="shared" si="1"/>
        <v/>
      </c>
      <c r="D72" t="s">
        <v>320</v>
      </c>
      <c r="E72" t="s">
        <v>6</v>
      </c>
      <c r="F72" s="3" t="s">
        <v>240</v>
      </c>
      <c r="G72" s="3">
        <v>4</v>
      </c>
      <c r="H72" t="str" cm="1">
        <f t="array" ref="H72:M72">IFERROR(
  _xlfn.LET(
    _xlpm.clean, _xlfn.LAMBDA(_xlpm.x, TRIM(SUBSTITUTE(_xlpm.x,CHAR(160)," "))),
    _xlpm.t, CLEAN($D72),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COLRAIN, TOWN OF - 2/18/2026</v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 spans="2:14" s="6" customFormat="1" x14ac:dyDescent="0.35">
      <c r="B73" s="3" t="str" cm="1">
        <f t="array" ref="B73">IF(SUM(COUNTIF($H73:$N73,{"*TOWN OF*","*CITY OF*"}))&gt;0,"✓","")</f>
        <v>✓</v>
      </c>
      <c r="C73" s="3" t="str">
        <f t="shared" si="1"/>
        <v/>
      </c>
      <c r="D73" t="s">
        <v>321</v>
      </c>
      <c r="E73" t="s">
        <v>6</v>
      </c>
      <c r="F73" s="3" t="s">
        <v>240</v>
      </c>
      <c r="G73" s="3">
        <v>4</v>
      </c>
      <c r="H73" t="str" cm="1">
        <f t="array" ref="H73:M73">IFERROR(
  _xlfn.LET(
    _xlpm.clean, _xlfn.LAMBDA(_xlpm.x, TRIM(SUBSTITUTE(_xlpm.x,CHAR(160)," "))),
    _xlpm.t, CLEAN($D73),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CONWAY, TOWN OF - 1/13/2026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/>
    </row>
    <row r="74" spans="2:14" x14ac:dyDescent="0.35">
      <c r="B74" s="3" t="str" cm="1">
        <f t="array" ref="B74">IF(SUM(COUNTIF($H74:$N74,{"*TOWN OF*","*CITY OF*"}))&gt;0,"✓","")</f>
        <v>✓</v>
      </c>
      <c r="C74" s="3" t="str">
        <f t="shared" si="1"/>
        <v/>
      </c>
      <c r="D74" t="s">
        <v>324</v>
      </c>
      <c r="E74" t="s">
        <v>6</v>
      </c>
      <c r="F74" s="3" t="s">
        <v>240</v>
      </c>
      <c r="G74" s="3">
        <v>4</v>
      </c>
      <c r="H74" t="str" cm="1">
        <f t="array" ref="H74:M74">IFERROR(
  _xlfn.LET(
    _xlpm.clean, _xlfn.LAMBDA(_xlpm.x, TRIM(SUBSTITUTE(_xlpm.x,CHAR(160)," "))),
    _xlpm.t, CLEAN($D74),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ERVING, TOWN OF</v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 spans="2:14" x14ac:dyDescent="0.35">
      <c r="B75" s="3" t="str" cm="1">
        <f t="array" ref="B75">IF(SUM(COUNTIF($H75:$N75,{"*TOWN OF*","*CITY OF*"}))&gt;0,"✓","")</f>
        <v>✓</v>
      </c>
      <c r="C75" s="3" t="str">
        <f t="shared" si="1"/>
        <v/>
      </c>
      <c r="D75" t="s">
        <v>325</v>
      </c>
      <c r="E75" t="s">
        <v>6</v>
      </c>
      <c r="F75" s="3" t="s">
        <v>240</v>
      </c>
      <c r="G75" s="3">
        <v>4</v>
      </c>
      <c r="H75" t="str" cm="1">
        <f t="array" ref="H75:M75">IFERROR(
  _xlfn.LET(
    _xlpm.clean, _xlfn.LAMBDA(_xlpm.x, TRIM(SUBSTITUTE(_xlpm.x,CHAR(160)," "))),
    _xlpm.t, CLEAN($D75),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GILL, TOWN OF</v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 spans="2:14" x14ac:dyDescent="0.35">
      <c r="B76" s="3" t="str" cm="1">
        <f t="array" ref="B76">IF(SUM(COUNTIF($H76:$N76,{"*TOWN OF*","*CITY OF*"}))&gt;0,"✓","")</f>
        <v>✓</v>
      </c>
      <c r="C76" s="3" t="str">
        <f t="shared" si="1"/>
        <v/>
      </c>
      <c r="D76" t="s">
        <v>326</v>
      </c>
      <c r="E76" t="s">
        <v>6</v>
      </c>
      <c r="F76" s="3" t="s">
        <v>358</v>
      </c>
      <c r="G76" s="3">
        <v>2</v>
      </c>
      <c r="H76" t="str" cm="1">
        <f t="array" ref="H76:M76">IFERROR(
  _xlfn.LET(
    _xlpm.clean, _xlfn.LAMBDA(_xlpm.x, TRIM(SUBSTITUTE(_xlpm.x,CHAR(160)," "))),
    _xlpm.t, CLEAN($D76),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GOSHEN, TOWN OF - 1/8/2026</v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 spans="2:14" x14ac:dyDescent="0.35">
      <c r="B77" s="3" t="str" cm="1">
        <f t="array" ref="B77">IF(SUM(COUNTIF($H77:$N77,{"*TOWN OF*","*CITY OF*"}))&gt;0,"✓","")</f>
        <v/>
      </c>
      <c r="C77" s="3" t="str">
        <f t="shared" si="1"/>
        <v>✓</v>
      </c>
      <c r="D77" t="s">
        <v>330</v>
      </c>
      <c r="E77" t="s">
        <v>6</v>
      </c>
      <c r="F77" s="3" t="s">
        <v>240</v>
      </c>
      <c r="G77" s="3">
        <v>4</v>
      </c>
      <c r="H77" t="str" cm="1">
        <f t="array" ref="H77:M77">IFERROR(
  _xlfn.LET(
    _xlpm.clean, _xlfn.LAMBDA(_xlpm.x, TRIM(SUBSTITUTE(_xlpm.x,CHAR(160)," "))),
    _xlpm.t, CLEAN($D77),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 spans="2:14" s="6" customFormat="1" x14ac:dyDescent="0.35">
      <c r="B78" s="3" t="str" cm="1">
        <f t="array" ref="B78">IF(SUM(COUNTIF($H78:$N78,{"*TOWN OF*","*CITY OF*"}))&gt;0,"✓","")</f>
        <v>✓</v>
      </c>
      <c r="C78" s="3" t="str">
        <f t="shared" si="1"/>
        <v/>
      </c>
      <c r="D78" t="s">
        <v>333</v>
      </c>
      <c r="E78" t="s">
        <v>6</v>
      </c>
      <c r="F78" s="3" t="s">
        <v>240</v>
      </c>
      <c r="G78" s="3">
        <v>4</v>
      </c>
      <c r="H78" t="str" cm="1">
        <f t="array" ref="H78:M78">IFERROR(
  _xlfn.LET(
    _xlpm.clean, _xlfn.LAMBDA(_xlpm.x, TRIM(SUBSTITUTE(_xlpm.x,CHAR(160)," "))),
    _xlpm.t, CLEAN($D78),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LEVERETT, TOWN OF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/>
    </row>
    <row r="79" spans="2:14" x14ac:dyDescent="0.35">
      <c r="B79" s="3" t="str" cm="1">
        <f t="array" ref="B79">IF(SUM(COUNTIF($H79:$N79,{"*TOWN OF*","*CITY OF*"}))&gt;0,"✓","")</f>
        <v/>
      </c>
      <c r="C79" s="3" t="str">
        <f t="shared" si="1"/>
        <v>✓</v>
      </c>
      <c r="D79" t="s">
        <v>334</v>
      </c>
      <c r="E79" t="s">
        <v>6</v>
      </c>
      <c r="F79" s="3" t="s">
        <v>240</v>
      </c>
      <c r="G79" s="3">
        <v>4</v>
      </c>
      <c r="H79" t="str" cm="1">
        <f t="array" ref="H79:M79">IFERROR(
  _xlfn.LET(
    _xlpm.clean, _xlfn.LAMBDA(_xlpm.x, TRIM(SUBSTITUTE(_xlpm.x,CHAR(160)," "))),
    _xlpm.t, CLEAN($D79),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 spans="2:14" x14ac:dyDescent="0.35">
      <c r="B80" s="3" t="str" cm="1">
        <f t="array" ref="B80">IF(SUM(COUNTIF($H80:$N80,{"*TOWN OF*","*CITY OF*"}))&gt;0,"✓","")</f>
        <v>✓</v>
      </c>
      <c r="C80" s="3" t="str">
        <f t="shared" si="1"/>
        <v/>
      </c>
      <c r="D80" t="s">
        <v>338</v>
      </c>
      <c r="E80" t="s">
        <v>6</v>
      </c>
      <c r="F80" s="3" t="s">
        <v>240</v>
      </c>
      <c r="G80" s="3">
        <v>4</v>
      </c>
      <c r="H80" t="str" cm="1">
        <f t="array" ref="H80:M80">IFERROR(
  _xlfn.LET(
    _xlpm.clean, _xlfn.LAMBDA(_xlpm.x, TRIM(SUBSTITUTE(_xlpm.x,CHAR(160)," "))),
    _xlpm.t, CLEAN($D80),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NEW SALEM, TOWN OF</v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 spans="2:14" x14ac:dyDescent="0.35">
      <c r="B81" s="3" t="str" cm="1">
        <f t="array" ref="B81">IF(SUM(COUNTIF($H81:$N81,{"*TOWN OF*","*CITY OF*"}))&gt;0,"✓","")</f>
        <v>✓</v>
      </c>
      <c r="C81" s="3" t="str">
        <f t="shared" si="1"/>
        <v/>
      </c>
      <c r="D81" t="s">
        <v>340</v>
      </c>
      <c r="E81" t="s">
        <v>6</v>
      </c>
      <c r="F81" s="3" t="s">
        <v>240</v>
      </c>
      <c r="G81" s="3">
        <v>4</v>
      </c>
      <c r="H81" t="str" cm="1">
        <f t="array" ref="H81:M81">IFERROR(
  _xlfn.LET(
    _xlpm.clean, _xlfn.LAMBDA(_xlpm.x, TRIM(SUBSTITUTE(_xlpm.x,CHAR(160)," "))),
    _xlpm.t, CLEAN($D81),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NORTHFIELD, TOWN OF - 2/24/2026</v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 spans="2:14" x14ac:dyDescent="0.35">
      <c r="B82" s="3" t="str" cm="1">
        <f t="array" ref="B82">IF(SUM(COUNTIF($H82:$N82,{"*TOWN OF*","*CITY OF*"}))&gt;0,"✓","")</f>
        <v>✓</v>
      </c>
      <c r="C82" s="3" t="str">
        <f t="shared" si="1"/>
        <v/>
      </c>
      <c r="D82" t="s">
        <v>341</v>
      </c>
      <c r="E82" t="s">
        <v>6</v>
      </c>
      <c r="F82" s="3" t="s">
        <v>240</v>
      </c>
      <c r="G82" s="3">
        <v>4</v>
      </c>
      <c r="H82" t="str" cm="1">
        <f t="array" ref="H82:M82">IFERROR(
  _xlfn.LET(
    _xlpm.clean, _xlfn.LAMBDA(_xlpm.x, TRIM(SUBSTITUTE(_xlpm.x,CHAR(160)," "))),
    _xlpm.t, CLEAN($D82),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RALPH C. MAHAR RSD</v>
      </c>
      <c r="I82" t="str">
        <v>ORANGE, TOWN OF</v>
      </c>
      <c r="J82" t="str">
        <v/>
      </c>
      <c r="K82" t="str">
        <v/>
      </c>
      <c r="L82" t="str">
        <v/>
      </c>
      <c r="M82" t="str">
        <v/>
      </c>
    </row>
    <row r="83" spans="2:14" x14ac:dyDescent="0.35">
      <c r="B83" s="3" t="str" cm="1">
        <f t="array" ref="B83">IF(SUM(COUNTIF($H83:$N83,{"*TOWN OF*","*CITY OF*"}))&gt;0,"✓","")</f>
        <v>✓</v>
      </c>
      <c r="C83" s="3" t="str">
        <f t="shared" si="1"/>
        <v/>
      </c>
      <c r="D83" t="s">
        <v>342</v>
      </c>
      <c r="E83" t="s">
        <v>6</v>
      </c>
      <c r="F83" s="3" t="s">
        <v>358</v>
      </c>
      <c r="G83" s="3">
        <v>4</v>
      </c>
      <c r="H83" t="str" cm="1">
        <f t="array" ref="H83:M83">IFERROR(
  _xlfn.LET(
    _xlpm.clean, _xlfn.LAMBDA(_xlpm.x, TRIM(SUBSTITUTE(_xlpm.x,CHAR(160)," "))),
    _xlpm.t, CLEAN($D83),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PELHAM, TOWN OF</v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 spans="2:14" x14ac:dyDescent="0.35">
      <c r="B84" s="3" t="str" cm="1">
        <f t="array" ref="B84">IF(SUM(COUNTIF($H84:$N84,{"*TOWN OF*","*CITY OF*"}))&gt;0,"✓","")</f>
        <v>✓</v>
      </c>
      <c r="C84" s="3" t="str">
        <f t="shared" si="1"/>
        <v/>
      </c>
      <c r="D84" s="6" t="s">
        <v>343</v>
      </c>
      <c r="E84" s="6" t="s">
        <v>6</v>
      </c>
      <c r="F84" s="5" t="s">
        <v>240</v>
      </c>
      <c r="G84" s="3">
        <v>4</v>
      </c>
      <c r="H84" t="str" cm="1">
        <f t="array" ref="H84:M84">IFERROR(
  _xlfn.LET(
    _xlpm.clean, _xlfn.LAMBDA(_xlpm.x, TRIM(SUBSTITUTE(_xlpm.x,CHAR(160)," "))),
    _xlpm.t, CLEAN($D84),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SHELBURNE, TOWN OF</v>
      </c>
      <c r="I84" s="6" t="str">
        <v>MOHAWK TRAIL RSD - 3/11/2026</v>
      </c>
      <c r="J84" s="6" t="str">
        <v/>
      </c>
      <c r="K84" s="6" t="str">
        <v/>
      </c>
      <c r="L84" s="6" t="str">
        <v/>
      </c>
      <c r="M84" s="6" t="str">
        <v/>
      </c>
      <c r="N84" s="6"/>
    </row>
    <row r="85" spans="2:14" x14ac:dyDescent="0.35">
      <c r="B85" s="3" t="str" cm="1">
        <f t="array" ref="B85">IF(SUM(COUNTIF($H85:$N85,{"*TOWN OF*","*CITY OF*"}))&gt;0,"✓","")</f>
        <v>✓</v>
      </c>
      <c r="C85" s="3" t="str">
        <f t="shared" si="1"/>
        <v/>
      </c>
      <c r="D85" t="s">
        <v>344</v>
      </c>
      <c r="E85" t="s">
        <v>6</v>
      </c>
      <c r="F85" s="3" t="s">
        <v>240</v>
      </c>
      <c r="G85" s="3">
        <v>4</v>
      </c>
      <c r="H85" t="str" cm="1">
        <f t="array" ref="H85:M85">IFERROR(
  _xlfn.LET(
    _xlpm.clean, _xlfn.LAMBDA(_xlpm.x, TRIM(SUBSTITUTE(_xlpm.x,CHAR(160)," "))),
    _xlpm.t, CLEAN($D85),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SHUTESBURY, TOWN OF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 spans="2:14" x14ac:dyDescent="0.35">
      <c r="B86" s="3" t="str" cm="1">
        <f t="array" ref="B86">IF(SUM(COUNTIF($H86:$N86,{"*TOWN OF*","*CITY OF*"}))&gt;0,"✓","")</f>
        <v>✓</v>
      </c>
      <c r="C86" s="3" t="str">
        <f t="shared" si="1"/>
        <v/>
      </c>
      <c r="D86" t="s">
        <v>350</v>
      </c>
      <c r="E86" t="s">
        <v>6</v>
      </c>
      <c r="F86" s="3" t="s">
        <v>240</v>
      </c>
      <c r="G86" s="3">
        <v>4</v>
      </c>
      <c r="H86" t="str" cm="1">
        <f t="array" ref="H86:M86">IFERROR(
  _xlfn.LET(
    _xlpm.clean, _xlfn.LAMBDA(_xlpm.x, TRIM(SUBSTITUTE(_xlpm.x,CHAR(160)," "))),
    _xlpm.t, CLEAN($D86),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WARWICK, TOWN OF</v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 spans="2:14" x14ac:dyDescent="0.35">
      <c r="B87" s="3" t="str" cm="1">
        <f t="array" ref="B87">IF(SUM(COUNTIF($H87:$N87,{"*TOWN OF*","*CITY OF*"}))&gt;0,"✓","")</f>
        <v/>
      </c>
      <c r="C87" s="3" t="str">
        <f t="shared" si="1"/>
        <v>✓</v>
      </c>
      <c r="D87" t="s">
        <v>351</v>
      </c>
      <c r="E87" t="s">
        <v>6</v>
      </c>
      <c r="F87" s="3" t="s">
        <v>240</v>
      </c>
      <c r="G87" s="3">
        <v>4</v>
      </c>
      <c r="H87" t="str" cm="1">
        <f t="array" ref="H87:M87">IFERROR(
  _xlfn.LET(
    _xlpm.clean, _xlfn.LAMBDA(_xlpm.x, TRIM(SUBSTITUTE(_xlpm.x,CHAR(160)," "))),
    _xlpm.t, CLEAN($D87),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 spans="2:14" x14ac:dyDescent="0.35">
      <c r="B88" s="3" t="str" cm="1">
        <f t="array" ref="B88">IF(SUM(COUNTIF($H88:$N88,{"*TOWN OF*","*CITY OF*"}))&gt;0,"✓","")</f>
        <v>✓</v>
      </c>
      <c r="C88" s="3" t="str">
        <f t="shared" si="1"/>
        <v/>
      </c>
      <c r="D88" t="s">
        <v>322</v>
      </c>
      <c r="E88" t="s">
        <v>6</v>
      </c>
      <c r="F88" s="3" t="s">
        <v>240</v>
      </c>
      <c r="G88" s="3">
        <v>3</v>
      </c>
      <c r="H88" t="str" cm="1">
        <f t="array" ref="H88:M88">IFERROR(
  _xlfn.LET(
    _xlpm.clean, _xlfn.LAMBDA(_xlpm.x, TRIM(SUBSTITUTE(_xlpm.x,CHAR(160)," "))),
    _xlpm.t, CLEAN($D88),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 DEERFIELD FIRE DISTRICT - 1/13/2026</v>
      </c>
      <c r="I88" t="str">
        <v>FRONTIER RSD - 1/8/2026</v>
      </c>
      <c r="J88" t="str">
        <v>DEERFIELD, TOWN OF - 1/13/2026</v>
      </c>
      <c r="K88" t="str">
        <v/>
      </c>
      <c r="L88" t="str">
        <v/>
      </c>
      <c r="M88" t="str">
        <v/>
      </c>
    </row>
    <row r="89" spans="2:14" x14ac:dyDescent="0.35">
      <c r="B89" s="3" t="str" cm="1">
        <f t="array" ref="B89">IF(SUM(COUNTIF($H89:$N89,{"*TOWN OF*","*CITY OF*"}))&gt;0,"✓","")</f>
        <v/>
      </c>
      <c r="C89" s="3" t="str">
        <f t="shared" si="1"/>
        <v>✓</v>
      </c>
      <c r="D89" t="s">
        <v>327</v>
      </c>
      <c r="E89" t="s">
        <v>5</v>
      </c>
      <c r="F89" s="3" t="s">
        <v>240</v>
      </c>
      <c r="G89" s="3">
        <v>4</v>
      </c>
      <c r="H89" t="str" cm="1">
        <f t="array" ref="H89:M89">IFERROR(
  _xlfn.LET(
    _xlpm.clean, _xlfn.LAMBDA(_xlpm.x, TRIM(SUBSTITUTE(_xlpm.x,CHAR(160)," "))),
    _xlpm.t, CLEAN($D89),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 spans="2:14" x14ac:dyDescent="0.35">
      <c r="B90" s="3" t="str" cm="1">
        <f t="array" ref="B90">IF(SUM(COUNTIF($H90:$N90,{"*TOWN OF*","*CITY OF*"}))&gt;0,"✓","")</f>
        <v>✓</v>
      </c>
      <c r="C90" s="3" t="str">
        <f t="shared" si="1"/>
        <v/>
      </c>
      <c r="D90" s="6" t="s">
        <v>336</v>
      </c>
      <c r="E90" s="6" t="s">
        <v>6</v>
      </c>
      <c r="F90" s="5" t="s">
        <v>240</v>
      </c>
      <c r="G90" s="3">
        <v>4</v>
      </c>
      <c r="H90" t="str" cm="1">
        <f t="array" ref="H90:M90">IFERROR(
  _xlfn.LET(
    _xlpm.clean, _xlfn.LAMBDA(_xlpm.x, TRIM(SUBSTITUTE(_xlpm.x,CHAR(160)," "))),
    _xlpm.t, CLEAN($D90),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MONTAGUE, TOWN OF</v>
      </c>
      <c r="I90" s="6" t="str">
        <v>GILL-MONTAGUE RSD</v>
      </c>
      <c r="J90" s="6" t="str">
        <v>FRANKLIN COUNTY TECHNICAL SCHOOL</v>
      </c>
      <c r="K90" s="6" t="str">
        <v/>
      </c>
      <c r="L90" s="6" t="str">
        <v/>
      </c>
      <c r="M90" s="6" t="str">
        <v/>
      </c>
      <c r="N90" s="6"/>
    </row>
    <row r="91" spans="2:14" x14ac:dyDescent="0.35">
      <c r="B91" s="3" t="str" cm="1">
        <f t="array" ref="B91">IF(SUM(COUNTIF($H91:$N91,{"*TOWN OF*","*CITY OF*"}))&gt;0,"✓","")</f>
        <v>✓</v>
      </c>
      <c r="C91" s="3" t="str">
        <f t="shared" si="1"/>
        <v/>
      </c>
      <c r="D91" t="s">
        <v>97</v>
      </c>
      <c r="E91" t="s">
        <v>6</v>
      </c>
      <c r="F91" s="3" t="s">
        <v>312</v>
      </c>
      <c r="G91" s="3">
        <v>5</v>
      </c>
      <c r="H91" t="str" cm="1">
        <f t="array" ref="H91:M91">IFERROR(
  _xlfn.LET(
    _xlpm.clean, _xlfn.LAMBDA(_xlpm.x, TRIM(SUBSTITUTE(_xlpm.x,CHAR(160)," "))),
    _xlpm.t, CLEAN($D91),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ASHBURNHAM, TOWN OF - 4/28/2026</v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 spans="2:14" x14ac:dyDescent="0.35">
      <c r="B92" s="3" t="str" cm="1">
        <f t="array" ref="B92">IF(SUM(COUNTIF($H92:$N92,{"*TOWN OF*","*CITY OF*"}))&gt;0,"✓","")</f>
        <v>✓</v>
      </c>
      <c r="C92" s="3" t="str">
        <f t="shared" si="1"/>
        <v/>
      </c>
      <c r="D92" t="s">
        <v>98</v>
      </c>
      <c r="E92" t="s">
        <v>6</v>
      </c>
      <c r="F92" s="3" t="s">
        <v>360</v>
      </c>
      <c r="G92" s="3">
        <v>5</v>
      </c>
      <c r="H92" t="str" cm="1">
        <f t="array" ref="H92:M92">IFERROR(
  _xlfn.LET(
    _xlpm.clean, _xlfn.LAMBDA(_xlpm.x, TRIM(SUBSTITUTE(_xlpm.x,CHAR(160)," "))),
    _xlpm.t, CLEAN($D92),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ASHBY, TOWN OF - 4/28/2026</v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 spans="2:14" x14ac:dyDescent="0.35">
      <c r="B93" s="3" t="str" cm="1">
        <f t="array" ref="B93">IF(SUM(COUNTIF($H93:$N93,{"*TOWN OF*","*CITY OF*"}))&gt;0,"✓","")</f>
        <v>✓</v>
      </c>
      <c r="C93" s="3" t="str">
        <f t="shared" si="1"/>
        <v/>
      </c>
      <c r="D93" t="s">
        <v>99</v>
      </c>
      <c r="E93" t="s">
        <v>6</v>
      </c>
      <c r="F93" s="3" t="s">
        <v>312</v>
      </c>
      <c r="G93" s="3">
        <v>5</v>
      </c>
      <c r="H93" t="str" cm="1">
        <f t="array" ref="H93:M93">IFERROR(
  _xlfn.LET(
    _xlpm.clean, _xlfn.LAMBDA(_xlpm.x, TRIM(SUBSTITUTE(_xlpm.x,CHAR(160)," "))),
    _xlpm.t, CLEAN($D93),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ATHOL, TOWN OF - 2/18/2026</v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 spans="2:14" x14ac:dyDescent="0.35">
      <c r="B94" s="3" t="str" cm="1">
        <f t="array" ref="B94">IF(SUM(COUNTIF($H94:$N94,{"*TOWN OF*","*CITY OF*"}))&gt;0,"✓","")</f>
        <v>✓</v>
      </c>
      <c r="C94" s="3" t="str">
        <f t="shared" si="1"/>
        <v/>
      </c>
      <c r="D94" t="s">
        <v>101</v>
      </c>
      <c r="E94" t="s">
        <v>6</v>
      </c>
      <c r="F94" s="3" t="s">
        <v>312</v>
      </c>
      <c r="G94" s="3">
        <v>5</v>
      </c>
      <c r="H94" t="str" cm="1">
        <f t="array" ref="H94:M94">IFERROR(
  _xlfn.LET(
    _xlpm.clean, _xlfn.LAMBDA(_xlpm.x, TRIM(SUBSTITUTE(_xlpm.x,CHAR(160)," "))),
    _xlpm.t, CLEAN($D94),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BARRE, TOWN OF - 6/9/2026</v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 spans="2:14" x14ac:dyDescent="0.35">
      <c r="B95" s="3" t="str" cm="1">
        <f t="array" ref="B95">IF(SUM(COUNTIF($H95:$N95,{"*TOWN OF*","*CITY OF*"}))&gt;0,"✓","")</f>
        <v>✓</v>
      </c>
      <c r="C95" s="3" t="str">
        <f t="shared" si="1"/>
        <v/>
      </c>
      <c r="D95" t="s">
        <v>107</v>
      </c>
      <c r="E95" t="s">
        <v>5</v>
      </c>
      <c r="F95" s="3" t="s">
        <v>312</v>
      </c>
      <c r="G95" s="3">
        <v>5</v>
      </c>
      <c r="H95" t="str" cm="1">
        <f t="array" ref="H95:M95">IFERROR(
  _xlfn.LET(
    _xlpm.clean, _xlfn.LAMBDA(_xlpm.x, TRIM(SUBSTITUTE(_xlpm.x,CHAR(160)," "))),
    _xlpm.t, CLEAN($D95),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FITCHBURG, CITY OF - 3/16/2026</v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 spans="2:14" x14ac:dyDescent="0.35">
      <c r="B96" s="3" t="str" cm="1">
        <f t="array" ref="B96">IF(SUM(COUNTIF($H96:$N96,{"*TOWN OF*","*CITY OF*"}))&gt;0,"✓","")</f>
        <v>✓</v>
      </c>
      <c r="C96" s="3" t="str">
        <f t="shared" si="1"/>
        <v/>
      </c>
      <c r="D96" t="s">
        <v>108</v>
      </c>
      <c r="E96" t="s">
        <v>5</v>
      </c>
      <c r="F96" s="3" t="s">
        <v>312</v>
      </c>
      <c r="G96" s="3">
        <v>5</v>
      </c>
      <c r="H96" t="str" cm="1">
        <f t="array" ref="H96:M96">IFERROR(
  _xlfn.LET(
    _xlpm.clean, _xlfn.LAMBDA(_xlpm.x, TRIM(SUBSTITUTE(_xlpm.x,CHAR(160)," "))),
    _xlpm.t, CLEAN($D96),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GARDNER, CITY OF - 3/25/2026</v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 spans="2:13" x14ac:dyDescent="0.35">
      <c r="B97" s="3" t="str" cm="1">
        <f t="array" ref="B97">IF(SUM(COUNTIF($H97:$N97,{"*TOWN OF*","*CITY OF*"}))&gt;0,"✓","")</f>
        <v>✓</v>
      </c>
      <c r="C97" s="3" t="str">
        <f t="shared" si="1"/>
        <v/>
      </c>
      <c r="D97" t="s">
        <v>110</v>
      </c>
      <c r="E97" t="s">
        <v>6</v>
      </c>
      <c r="F97" s="3" t="s">
        <v>312</v>
      </c>
      <c r="G97" s="3">
        <v>5</v>
      </c>
      <c r="H97" t="str" cm="1">
        <f t="array" ref="H97:M97">IFERROR(
  _xlfn.LET(
    _xlpm.clean, _xlfn.LAMBDA(_xlpm.x, TRIM(SUBSTITUTE(_xlpm.x,CHAR(160)," "))),
    _xlpm.t, CLEAN($D97),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HARDWICK, TOWN OF - 3/18/2026</v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 spans="2:13" x14ac:dyDescent="0.35">
      <c r="B98" s="3" t="str" cm="1">
        <f t="array" ref="B98">IF(SUM(COUNTIF($H98:$N98,{"*TOWN OF*","*CITY OF*"}))&gt;0,"✓","")</f>
        <v>✓</v>
      </c>
      <c r="C98" s="3" t="str">
        <f t="shared" si="1"/>
        <v/>
      </c>
      <c r="D98" t="s">
        <v>113</v>
      </c>
      <c r="E98" t="s">
        <v>6</v>
      </c>
      <c r="F98" s="3" t="s">
        <v>312</v>
      </c>
      <c r="G98" s="3">
        <v>5</v>
      </c>
      <c r="H98" t="str" cm="1">
        <f t="array" ref="H98:M98">IFERROR(
  _xlfn.LET(
    _xlpm.clean, _xlfn.LAMBDA(_xlpm.x, TRIM(SUBSTITUTE(_xlpm.x,CHAR(160)," "))),
    _xlpm.t, CLEAN($D98),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HUBBARDSTON, TOWN OF - 3/18/2026</v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 spans="2:13" x14ac:dyDescent="0.35">
      <c r="B99" s="3" t="str" cm="1">
        <f t="array" ref="B99">IF(SUM(COUNTIF($H99:$N99,{"*TOWN OF*","*CITY OF*"}))&gt;0,"✓","")</f>
        <v>✓</v>
      </c>
      <c r="C99" s="3" t="str">
        <f t="shared" si="1"/>
        <v/>
      </c>
      <c r="D99" t="s">
        <v>116</v>
      </c>
      <c r="E99" t="s">
        <v>5</v>
      </c>
      <c r="F99" s="3" t="s">
        <v>312</v>
      </c>
      <c r="G99" s="3">
        <v>5</v>
      </c>
      <c r="H99" t="str" cm="1">
        <f t="array" ref="H99:M99">IFERROR(
  _xlfn.LET(
    _xlpm.clean, _xlfn.LAMBDA(_xlpm.x, TRIM(SUBSTITUTE(_xlpm.x,CHAR(160)," "))),
    _xlpm.t, CLEAN($D99),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LEOMINSTER, CITY OF</v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 spans="2:13" x14ac:dyDescent="0.35">
      <c r="B100" s="3" t="str" cm="1">
        <f t="array" ref="B100">IF(SUM(COUNTIF($H100:$N100,{"*TOWN OF*","*CITY OF*"}))&gt;0,"✓","")</f>
        <v>✓</v>
      </c>
      <c r="C100" s="3" t="str">
        <f t="shared" si="1"/>
        <v/>
      </c>
      <c r="D100" t="s">
        <v>118</v>
      </c>
      <c r="E100" t="s">
        <v>6</v>
      </c>
      <c r="F100" s="3" t="s">
        <v>312</v>
      </c>
      <c r="G100" s="3">
        <v>5</v>
      </c>
      <c r="H100" t="str" cm="1">
        <f t="array" ref="H100:M100">IFERROR(
  _xlfn.LET(
    _xlpm.clean, _xlfn.LAMBDA(_xlpm.x, TRIM(SUBSTITUTE(_xlpm.x,CHAR(160)," "))),
    _xlpm.t, CLEAN($D100),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LUNENBURG, TOWN OF</v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 spans="2:13" x14ac:dyDescent="0.35">
      <c r="B101" s="3" t="str" cm="1">
        <f t="array" ref="B101">IF(SUM(COUNTIF($H101:$N101,{"*TOWN OF*","*CITY OF*"}))&gt;0,"✓","")</f>
        <v/>
      </c>
      <c r="C101" s="3" t="str">
        <f t="shared" si="1"/>
        <v>✓</v>
      </c>
      <c r="D101" t="s">
        <v>121</v>
      </c>
      <c r="E101" t="s">
        <v>6</v>
      </c>
      <c r="F101" s="3" t="s">
        <v>312</v>
      </c>
      <c r="G101" s="3">
        <v>5</v>
      </c>
      <c r="H101" t="str" cm="1">
        <f t="array" ref="H101:M101">IFERROR(
  _xlfn.LET(
    _xlpm.clean, _xlfn.LAMBDA(_xlpm.x, TRIM(SUBSTITUTE(_xlpm.x,CHAR(160)," "))),
    _xlpm.t, CLEAN($D101),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 spans="2:13" x14ac:dyDescent="0.35">
      <c r="B102" s="3" t="str" cm="1">
        <f t="array" ref="B102">IF(SUM(COUNTIF($H102:$N102,{"*TOWN OF*","*CITY OF*"}))&gt;0,"✓","")</f>
        <v/>
      </c>
      <c r="C102" s="3" t="str">
        <f t="shared" si="1"/>
        <v>✓</v>
      </c>
      <c r="D102" t="s">
        <v>122</v>
      </c>
      <c r="E102" t="s">
        <v>6</v>
      </c>
      <c r="F102" s="3" t="s">
        <v>312</v>
      </c>
      <c r="G102" s="3">
        <v>5</v>
      </c>
      <c r="H102" t="str" cm="1">
        <f t="array" ref="H102:M102">IFERROR(
  _xlfn.LET(
    _xlpm.clean, _xlfn.LAMBDA(_xlpm.x, TRIM(SUBSTITUTE(_xlpm.x,CHAR(160)," "))),
    _xlpm.t, CLEAN($D102),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 spans="2:13" x14ac:dyDescent="0.35">
      <c r="B103" s="3" t="str" cm="1">
        <f t="array" ref="B103">IF(SUM(COUNTIF($H103:$N103,{"*TOWN OF*","*CITY OF*"}))&gt;0,"✓","")</f>
        <v>✓</v>
      </c>
      <c r="C103" s="3" t="str">
        <f t="shared" si="1"/>
        <v/>
      </c>
      <c r="D103" t="s">
        <v>124</v>
      </c>
      <c r="E103" t="s">
        <v>6</v>
      </c>
      <c r="F103" s="3" t="s">
        <v>312</v>
      </c>
      <c r="G103" s="3">
        <v>5</v>
      </c>
      <c r="H103" t="str" cm="1">
        <f t="array" ref="H103:M103">IFERROR(
  _xlfn.LET(
    _xlpm.clean, _xlfn.LAMBDA(_xlpm.x, TRIM(SUBSTITUTE(_xlpm.x,CHAR(160)," "))),
    _xlpm.t, CLEAN($D103),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OAKHAM, TOWN OF</v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 spans="2:13" x14ac:dyDescent="0.35">
      <c r="B104" s="3" t="str" cm="1">
        <f t="array" ref="B104">IF(SUM(COUNTIF($H104:$N104,{"*TOWN OF*","*CITY OF*"}))&gt;0,"✓","")</f>
        <v>✓</v>
      </c>
      <c r="C104" s="3" t="str">
        <f t="shared" si="1"/>
        <v/>
      </c>
      <c r="D104" t="s">
        <v>125</v>
      </c>
      <c r="E104" t="s">
        <v>6</v>
      </c>
      <c r="F104" s="3" t="s">
        <v>360</v>
      </c>
      <c r="G104" s="3">
        <v>5</v>
      </c>
      <c r="H104" t="str" cm="1">
        <f t="array" ref="H104:M104">IFERROR(
  _xlfn.LET(
    _xlpm.clean, _xlfn.LAMBDA(_xlpm.x, TRIM(SUBSTITUTE(_xlpm.x,CHAR(160)," "))),
    _xlpm.t, CLEAN($D104),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PEPPERELL, TOWN OF</v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 spans="2:13" x14ac:dyDescent="0.35">
      <c r="B105" s="3" t="str" cm="1">
        <f t="array" ref="B105">IF(SUM(COUNTIF($H105:$N105,{"*TOWN OF*","*CITY OF*"}))&gt;0,"✓","")</f>
        <v>✓</v>
      </c>
      <c r="C105" s="3" t="str">
        <f t="shared" si="1"/>
        <v/>
      </c>
      <c r="D105" t="s">
        <v>126</v>
      </c>
      <c r="E105" t="s">
        <v>6</v>
      </c>
      <c r="F105" s="3" t="s">
        <v>312</v>
      </c>
      <c r="G105" s="3">
        <v>5</v>
      </c>
      <c r="H105" t="str" cm="1">
        <f t="array" ref="H105:M105">IFERROR(
  _xlfn.LET(
    _xlpm.clean, _xlfn.LAMBDA(_xlpm.x, TRIM(SUBSTITUTE(_xlpm.x,CHAR(160)," "))),
    _xlpm.t, CLEAN($D105),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PETERSHAM, TOWN OF - 3/16/2026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 spans="2:13" x14ac:dyDescent="0.35">
      <c r="B106" s="3" t="str" cm="1">
        <f t="array" ref="B106">IF(SUM(COUNTIF($H106:$N106,{"*TOWN OF*","*CITY OF*"}))&gt;0,"✓","")</f>
        <v>✓</v>
      </c>
      <c r="C106" s="3" t="str">
        <f t="shared" si="1"/>
        <v/>
      </c>
      <c r="D106" t="s">
        <v>127</v>
      </c>
      <c r="E106" t="s">
        <v>6</v>
      </c>
      <c r="F106" s="3" t="s">
        <v>312</v>
      </c>
      <c r="G106" s="3">
        <v>5</v>
      </c>
      <c r="H106" t="str" cm="1">
        <f t="array" ref="H106:M106">IFERROR(
  _xlfn.LET(
    _xlpm.clean, _xlfn.LAMBDA(_xlpm.x, TRIM(SUBSTITUTE(_xlpm.x,CHAR(160)," "))),
    _xlpm.t, CLEAN($D106),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PHILLIPSTON, TOWN OF - 5/20/2026</v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 spans="2:13" x14ac:dyDescent="0.35">
      <c r="B107" s="3" t="str" cm="1">
        <f t="array" ref="B107">IF(SUM(COUNTIF($H107:$N107,{"*TOWN OF*","*CITY OF*"}))&gt;0,"✓","")</f>
        <v>✓</v>
      </c>
      <c r="C107" s="3" t="str">
        <f t="shared" si="1"/>
        <v/>
      </c>
      <c r="D107" t="s">
        <v>128</v>
      </c>
      <c r="E107" t="s">
        <v>6</v>
      </c>
      <c r="F107" s="3" t="s">
        <v>312</v>
      </c>
      <c r="G107" s="3">
        <v>5</v>
      </c>
      <c r="H107" t="str" cm="1">
        <f t="array" ref="H107:M107">IFERROR(
  _xlfn.LET(
    _xlpm.clean, _xlfn.LAMBDA(_xlpm.x, TRIM(SUBSTITUTE(_xlpm.x,CHAR(160)," "))),
    _xlpm.t, CLEAN($D107),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PRINCETON, TOWN OF - 1/28/2026</v>
      </c>
      <c r="I107" t="str">
        <v>PRINCETON TRUSTEES</v>
      </c>
      <c r="J107" t="str">
        <v/>
      </c>
      <c r="K107" t="str">
        <v/>
      </c>
      <c r="L107" t="str">
        <v/>
      </c>
      <c r="M107" t="str">
        <v/>
      </c>
    </row>
    <row r="108" spans="2:13" x14ac:dyDescent="0.35">
      <c r="B108" s="3" t="str" cm="1">
        <f t="array" ref="B108">IF(SUM(COUNTIF($H108:$N108,{"*TOWN OF*","*CITY OF*"}))&gt;0,"✓","")</f>
        <v/>
      </c>
      <c r="C108" s="3" t="str">
        <f t="shared" si="1"/>
        <v>✓</v>
      </c>
      <c r="D108" t="s">
        <v>129</v>
      </c>
      <c r="E108" t="s">
        <v>6</v>
      </c>
      <c r="F108" s="3" t="s">
        <v>312</v>
      </c>
      <c r="G108" s="3">
        <v>5</v>
      </c>
      <c r="H108" t="str" cm="1">
        <f t="array" ref="H108:M108">IFERROR(
  _xlfn.LET(
    _xlpm.clean, _xlfn.LAMBDA(_xlpm.x, TRIM(SUBSTITUTE(_xlpm.x,CHAR(160)," "))),
    _xlpm.t, CLEAN($D108),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 spans="2:13" x14ac:dyDescent="0.35">
      <c r="B109" s="3" t="str" cm="1">
        <f t="array" ref="B109">IF(SUM(COUNTIF($H109:$N109,{"*TOWN OF*","*CITY OF*"}))&gt;0,"✓","")</f>
        <v>✓</v>
      </c>
      <c r="C109" s="3" t="str">
        <f t="shared" si="1"/>
        <v/>
      </c>
      <c r="D109" t="s">
        <v>130</v>
      </c>
      <c r="E109" t="s">
        <v>6</v>
      </c>
      <c r="F109" s="3" t="s">
        <v>360</v>
      </c>
      <c r="G109" s="3">
        <v>5</v>
      </c>
      <c r="H109" t="str" cm="1">
        <f t="array" ref="H109:M109">IFERROR(
  _xlfn.LET(
    _xlpm.clean, _xlfn.LAMBDA(_xlpm.x, TRIM(SUBSTITUTE(_xlpm.x,CHAR(160)," "))),
    _xlpm.t, CLEAN($D109),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SHIRLEY, TOWN OF - 4/2/2026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 spans="2:13" x14ac:dyDescent="0.35">
      <c r="B110" s="3" t="str" cm="1">
        <f t="array" ref="B110">IF(SUM(COUNTIF($H110:$N110,{"*TOWN OF*","*CITY OF*"}))&gt;0,"✓","")</f>
        <v>✓</v>
      </c>
      <c r="C110" s="3" t="str">
        <f t="shared" si="1"/>
        <v/>
      </c>
      <c r="D110" t="s">
        <v>134</v>
      </c>
      <c r="E110" t="s">
        <v>6</v>
      </c>
      <c r="F110" s="3" t="s">
        <v>312</v>
      </c>
      <c r="G110" s="3">
        <v>5</v>
      </c>
      <c r="H110" t="str" cm="1">
        <f t="array" ref="H110:M110">IFERROR(
  _xlfn.LET(
    _xlpm.clean, _xlfn.LAMBDA(_xlpm.x, TRIM(SUBSTITUTE(_xlpm.x,CHAR(160)," "))),
    _xlpm.t, CLEAN($D110),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TEMPLETON, TOWN OF - 7/14/2026</v>
      </c>
      <c r="I110" t="str">
        <v>NARRAGANSETT RSD</v>
      </c>
      <c r="J110" t="str">
        <v/>
      </c>
      <c r="K110" t="str">
        <v/>
      </c>
      <c r="L110" t="str">
        <v/>
      </c>
      <c r="M110" t="str">
        <v/>
      </c>
    </row>
    <row r="111" spans="2:13" x14ac:dyDescent="0.35">
      <c r="B111" s="3" t="str" cm="1">
        <f t="array" ref="B111">IF(SUM(COUNTIF($H111:$N111,{"*TOWN OF*","*CITY OF*"}))&gt;0,"✓","")</f>
        <v>✓</v>
      </c>
      <c r="C111" s="3" t="str">
        <f t="shared" si="1"/>
        <v/>
      </c>
      <c r="D111" t="s">
        <v>135</v>
      </c>
      <c r="E111" t="s">
        <v>6</v>
      </c>
      <c r="F111" s="3" t="s">
        <v>360</v>
      </c>
      <c r="G111" s="3">
        <v>5</v>
      </c>
      <c r="H111" t="str" cm="1">
        <f t="array" ref="H111:M111">IFERROR(
  _xlfn.LET(
    _xlpm.clean, _xlfn.LAMBDA(_xlpm.x, TRIM(SUBSTITUTE(_xlpm.x,CHAR(160)," "))),
    _xlpm.t, CLEAN($D111),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TOWNSEND, TOWN OF - 4/2/2026</v>
      </c>
      <c r="I111" t="str">
        <v>NORTH MIDDLESEX RSD - 6/1/2026</v>
      </c>
      <c r="J111" t="str">
        <v/>
      </c>
      <c r="K111" t="str">
        <v/>
      </c>
      <c r="L111" t="str">
        <v/>
      </c>
      <c r="M111" t="str">
        <v/>
      </c>
    </row>
    <row r="112" spans="2:13" x14ac:dyDescent="0.35">
      <c r="B112" s="3" t="str" cm="1">
        <f t="array" ref="B112">IF(SUM(COUNTIF($H112:$N112,{"*TOWN OF*","*CITY OF*"}))&gt;0,"✓","")</f>
        <v>✓</v>
      </c>
      <c r="C112" s="3" t="str">
        <f t="shared" si="1"/>
        <v/>
      </c>
      <c r="D112" t="s">
        <v>138</v>
      </c>
      <c r="E112" t="s">
        <v>6</v>
      </c>
      <c r="F112" s="3" t="s">
        <v>312</v>
      </c>
      <c r="G112" s="3">
        <v>5</v>
      </c>
      <c r="H112" t="str" cm="1">
        <f t="array" ref="H112:M112">IFERROR(
  _xlfn.LET(
    _xlpm.clean, _xlfn.LAMBDA(_xlpm.x, TRIM(SUBSTITUTE(_xlpm.x,CHAR(160)," "))),
    _xlpm.t, CLEAN($D112),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WESTMINSTER, TOWN OF - 4/2/2026</v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 spans="2:13" x14ac:dyDescent="0.35">
      <c r="B113" s="3" t="str" cm="1">
        <f t="array" ref="B113">IF(SUM(COUNTIF($H113:$N113,{"*TOWN OF*","*CITY OF*"}))&gt;0,"✓","")</f>
        <v>✓</v>
      </c>
      <c r="C113" s="3" t="str">
        <f t="shared" si="1"/>
        <v/>
      </c>
      <c r="D113" t="s">
        <v>139</v>
      </c>
      <c r="E113" t="s">
        <v>6</v>
      </c>
      <c r="F113" s="3" t="s">
        <v>312</v>
      </c>
      <c r="G113" s="3">
        <v>5</v>
      </c>
      <c r="H113" t="str" cm="1">
        <f t="array" ref="H113:M113">IFERROR(
  _xlfn.LET(
    _xlpm.clean, _xlfn.LAMBDA(_xlpm.x, TRIM(SUBSTITUTE(_xlpm.x,CHAR(160)," "))),
    _xlpm.t, CLEAN($D113),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WINCHENDON, TOWN OF - 6/3/2026</v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 spans="2:13" x14ac:dyDescent="0.35">
      <c r="B114" s="3" t="str" cm="1">
        <f t="array" ref="B114">IF(SUM(COUNTIF($H114:$N114,{"*TOWN OF*","*CITY OF*"}))&gt;0,"✓","")</f>
        <v>✓</v>
      </c>
      <c r="C114" s="3" t="str">
        <f t="shared" si="1"/>
        <v/>
      </c>
      <c r="D114" t="s">
        <v>298</v>
      </c>
      <c r="E114" t="s">
        <v>6</v>
      </c>
      <c r="F114" s="3" t="s">
        <v>312</v>
      </c>
      <c r="G114" s="3">
        <v>5</v>
      </c>
      <c r="H114" t="str" cm="1">
        <f t="array" ref="H114:M114">IFERROR(
  _xlfn.LET(
    _xlpm.clean, _xlfn.LAMBDA(_xlpm.x, TRIM(SUBSTITUTE(_xlpm.x,CHAR(160)," "))),
    _xlpm.t, CLEAN($D114),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RUTLAND, TOWN OF - 4/27/2026</v>
      </c>
      <c r="I114" t="str">
        <v>RUFUS PUTNAM</v>
      </c>
      <c r="J114" t="str">
        <v>FIRST CONGREGATIONAL CHURCH OF RUTLAND - 5/20/2026</v>
      </c>
      <c r="K114" t="str">
        <v/>
      </c>
      <c r="L114" t="str">
        <v/>
      </c>
      <c r="M114" t="str">
        <v/>
      </c>
    </row>
    <row r="115" spans="2:13" x14ac:dyDescent="0.35">
      <c r="B115" s="3" t="str" cm="1">
        <f t="array" ref="B115">IF(SUM(COUNTIF($H115:$N115,{"*TOWN OF*","*CITY OF*"}))&gt;0,"✓","")</f>
        <v>✓</v>
      </c>
      <c r="C115" s="3" t="str">
        <f t="shared" si="1"/>
        <v/>
      </c>
      <c r="D115" t="s">
        <v>271</v>
      </c>
      <c r="E115" t="s">
        <v>6</v>
      </c>
      <c r="F115" s="3" t="s">
        <v>358</v>
      </c>
      <c r="G115" s="3">
        <v>6</v>
      </c>
      <c r="H115" t="str" cm="1">
        <f t="array" ref="H115:M115">IFERROR(
  _xlfn.LET(
    _xlpm.clean, _xlfn.LAMBDA(_xlpm.x, TRIM(SUBSTITUTE(_xlpm.x,CHAR(160)," "))),
    _xlpm.t, CLEAN($D115),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BELCHERTOWN, TOWN OF</v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 spans="2:13" x14ac:dyDescent="0.35">
      <c r="B116" s="3" t="str" cm="1">
        <f t="array" ref="B116">IF(SUM(COUNTIF($H116:$N116,{"*TOWN OF*","*CITY OF*"}))&gt;0,"✓","")</f>
        <v>✓</v>
      </c>
      <c r="C116" s="3" t="str">
        <f t="shared" si="1"/>
        <v/>
      </c>
      <c r="D116" t="s">
        <v>274</v>
      </c>
      <c r="E116" t="s">
        <v>6</v>
      </c>
      <c r="F116" s="3" t="s">
        <v>283</v>
      </c>
      <c r="G116" s="3">
        <v>6</v>
      </c>
      <c r="H116" t="str" cm="1">
        <f t="array" ref="H116:M116">IFERROR(
  _xlfn.LET(
    _xlpm.clean, _xlfn.LAMBDA(_xlpm.x, TRIM(SUBSTITUTE(_xlpm.x,CHAR(160)," "))),
    _xlpm.t, CLEAN($D116),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BRIMFIELD, TOWN OF - 3/25/2026</v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 spans="2:13" x14ac:dyDescent="0.35">
      <c r="B117" s="3" t="str" cm="1">
        <f t="array" ref="B117">IF(SUM(COUNTIF($H117:$N117,{"*TOWN OF*","*CITY OF*"}))&gt;0,"✓","")</f>
        <v>✓</v>
      </c>
      <c r="C117" s="3" t="str">
        <f t="shared" si="1"/>
        <v/>
      </c>
      <c r="D117" t="s">
        <v>275</v>
      </c>
      <c r="E117" t="s">
        <v>6</v>
      </c>
      <c r="F117" s="3" t="s">
        <v>312</v>
      </c>
      <c r="G117" s="3">
        <v>6</v>
      </c>
      <c r="H117" t="str" cm="1">
        <f t="array" ref="H117:M117">IFERROR(
  _xlfn.LET(
    _xlpm.clean, _xlfn.LAMBDA(_xlpm.x, TRIM(SUBSTITUTE(_xlpm.x,CHAR(160)," "))),
    _xlpm.t, CLEAN($D117),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BROOKFIELD, TOWN OF</v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 spans="2:13" x14ac:dyDescent="0.35">
      <c r="B118" s="3" t="str" cm="1">
        <f t="array" ref="B118">IF(SUM(COUNTIF($H118:$N118,{"*TOWN OF*","*CITY OF*"}))&gt;0,"✓","")</f>
        <v>✓</v>
      </c>
      <c r="C118" s="3" t="str">
        <f t="shared" si="1"/>
        <v/>
      </c>
      <c r="D118" t="s">
        <v>276</v>
      </c>
      <c r="E118" t="s">
        <v>6</v>
      </c>
      <c r="F118" s="3" t="s">
        <v>312</v>
      </c>
      <c r="G118" s="3">
        <v>6</v>
      </c>
      <c r="H118" t="str" cm="1">
        <f t="array" ref="H118:M118">IFERROR(
  _xlfn.LET(
    _xlpm.clean, _xlfn.LAMBDA(_xlpm.x, TRIM(SUBSTITUTE(_xlpm.x,CHAR(160)," "))),
    _xlpm.t, CLEAN($D118),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CHARLTON, TOWN OF</v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 spans="2:13" x14ac:dyDescent="0.35">
      <c r="B119" s="3" t="str" cm="1">
        <f t="array" ref="B119">IF(SUM(COUNTIF($H119:$N119,{"*TOWN OF*","*CITY OF*"}))&gt;0,"✓","")</f>
        <v>✓</v>
      </c>
      <c r="C119" s="3" t="str">
        <f t="shared" si="1"/>
        <v/>
      </c>
      <c r="D119" t="s">
        <v>278</v>
      </c>
      <c r="E119" t="s">
        <v>6</v>
      </c>
      <c r="F119" s="3" t="s">
        <v>312</v>
      </c>
      <c r="G119" s="3">
        <v>6</v>
      </c>
      <c r="H119" t="str" cm="1">
        <f t="array" ref="H119:M119">IFERROR(
  _xlfn.LET(
    _xlpm.clean, _xlfn.LAMBDA(_xlpm.x, TRIM(SUBSTITUTE(_xlpm.x,CHAR(160)," "))),
    _xlpm.t, CLEAN($D119),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SOUTHERN WORCESTER COUNTY ED. COLLABORATIVE</v>
      </c>
      <c r="I119" t="str">
        <v>DUDLEY, TOWN OF</v>
      </c>
      <c r="J119" t="str">
        <v/>
      </c>
      <c r="K119" t="str">
        <v/>
      </c>
      <c r="L119" t="str">
        <v/>
      </c>
      <c r="M119" t="str">
        <v/>
      </c>
    </row>
    <row r="120" spans="2:13" x14ac:dyDescent="0.35">
      <c r="B120" s="3" t="str" cm="1">
        <f t="array" ref="B120">IF(SUM(COUNTIF($H120:$N120,{"*TOWN OF*","*CITY OF*"}))&gt;0,"✓","")</f>
        <v>✓</v>
      </c>
      <c r="C120" s="3" t="str">
        <f t="shared" si="1"/>
        <v/>
      </c>
      <c r="D120" t="s">
        <v>279</v>
      </c>
      <c r="E120" t="s">
        <v>6</v>
      </c>
      <c r="F120" s="3" t="s">
        <v>312</v>
      </c>
      <c r="G120" s="3">
        <v>6</v>
      </c>
      <c r="H120" t="str" cm="1">
        <f t="array" ref="H120:M120">IFERROR(
  _xlfn.LET(
    _xlpm.clean, _xlfn.LAMBDA(_xlpm.x, TRIM(SUBSTITUTE(_xlpm.x,CHAR(160)," "))),
    _xlpm.t, CLEAN($D120),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EAST BROOKFIELD, TOWN OF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 spans="2:13" x14ac:dyDescent="0.35">
      <c r="B121" s="3" t="str" cm="1">
        <f t="array" ref="B121">IF(SUM(COUNTIF($H121:$N121,{"*TOWN OF*","*CITY OF*"}))&gt;0,"✓","")</f>
        <v/>
      </c>
      <c r="C121" s="3" t="str">
        <f t="shared" si="1"/>
        <v>✓</v>
      </c>
      <c r="D121" t="s">
        <v>280</v>
      </c>
      <c r="E121" t="s">
        <v>5</v>
      </c>
      <c r="F121" s="3" t="s">
        <v>283</v>
      </c>
      <c r="G121" s="3">
        <v>6</v>
      </c>
      <c r="H121" t="str" cm="1">
        <f t="array" ref="H121:M121">IFERROR(
  _xlfn.LET(
    _xlpm.clean, _xlfn.LAMBDA(_xlpm.x, TRIM(SUBSTITUTE(_xlpm.x,CHAR(160)," "))),
    _xlpm.t, CLEAN($D121),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 spans="2:13" x14ac:dyDescent="0.35">
      <c r="B122" s="3" t="str" cm="1">
        <f t="array" ref="B122">IF(SUM(COUNTIF($H122:$N122,{"*TOWN OF*","*CITY OF*"}))&gt;0,"✓","")</f>
        <v/>
      </c>
      <c r="C122" s="3" t="str">
        <f t="shared" si="1"/>
        <v>✓</v>
      </c>
      <c r="D122" t="s">
        <v>282</v>
      </c>
      <c r="E122" t="s">
        <v>6</v>
      </c>
      <c r="F122" s="3" t="s">
        <v>358</v>
      </c>
      <c r="G122" s="3">
        <v>6</v>
      </c>
      <c r="H122" t="str" cm="1">
        <f t="array" ref="H122:M122">IFERROR(
  _xlfn.LET(
    _xlpm.clean, _xlfn.LAMBDA(_xlpm.x, TRIM(SUBSTITUTE(_xlpm.x,CHAR(160)," "))),
    _xlpm.t, CLEAN($D122),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 spans="2:13" x14ac:dyDescent="0.35">
      <c r="B123" s="3" t="str" cm="1">
        <f t="array" ref="B123">IF(SUM(COUNTIF($H123:$N123,{"*TOWN OF*","*CITY OF*"}))&gt;0,"✓","")</f>
        <v/>
      </c>
      <c r="C123" s="3" t="str">
        <f t="shared" si="1"/>
        <v>✓</v>
      </c>
      <c r="D123" t="s">
        <v>283</v>
      </c>
      <c r="E123" t="s">
        <v>6</v>
      </c>
      <c r="F123" s="3" t="s">
        <v>283</v>
      </c>
      <c r="G123" s="3">
        <v>6</v>
      </c>
      <c r="H123" t="str" cm="1">
        <f t="array" ref="H123:M123">IFERROR(
  _xlfn.LET(
    _xlpm.clean, _xlfn.LAMBDA(_xlpm.x, TRIM(SUBSTITUTE(_xlpm.x,CHAR(160)," "))),
    _xlpm.t, CLEAN($D123),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 spans="2:13" x14ac:dyDescent="0.35">
      <c r="B124" s="3" t="str" cm="1">
        <f t="array" ref="B124">IF(SUM(COUNTIF($H124:$N124,{"*TOWN OF*","*CITY OF*"}))&gt;0,"✓","")</f>
        <v>✓</v>
      </c>
      <c r="C124" s="3" t="str">
        <f t="shared" si="1"/>
        <v/>
      </c>
      <c r="D124" t="s">
        <v>285</v>
      </c>
      <c r="E124" t="s">
        <v>6</v>
      </c>
      <c r="F124" s="3" t="s">
        <v>283</v>
      </c>
      <c r="G124" s="3">
        <v>6</v>
      </c>
      <c r="H124" t="str" cm="1">
        <f t="array" ref="H124:M124">IFERROR(
  _xlfn.LET(
    _xlpm.clean, _xlfn.LAMBDA(_xlpm.x, TRIM(SUBSTITUTE(_xlpm.x,CHAR(160)," "))),
    _xlpm.t, CLEAN($D124),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HOLLAND, TOWN OF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 spans="2:13" x14ac:dyDescent="0.35">
      <c r="B125" s="3" t="str" cm="1">
        <f t="array" ref="B125">IF(SUM(COUNTIF($H125:$N125,{"*TOWN OF*","*CITY OF*"}))&gt;0,"✓","")</f>
        <v>✓</v>
      </c>
      <c r="C125" s="3" t="str">
        <f t="shared" si="1"/>
        <v/>
      </c>
      <c r="D125" t="s">
        <v>288</v>
      </c>
      <c r="E125" t="s">
        <v>6</v>
      </c>
      <c r="F125" s="3" t="s">
        <v>283</v>
      </c>
      <c r="G125" s="3">
        <v>6</v>
      </c>
      <c r="H125" t="str" cm="1">
        <f t="array" ref="H125:M125">IFERROR(
  _xlfn.LET(
    _xlpm.clean, _xlfn.LAMBDA(_xlpm.x, TRIM(SUBSTITUTE(_xlpm.x,CHAR(160)," "))),
    _xlpm.t, CLEAN($D125),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LUDLOW, TOWN OF</v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 spans="2:13" x14ac:dyDescent="0.35">
      <c r="B126" s="3" t="str" cm="1">
        <f t="array" ref="B126">IF(SUM(COUNTIF($H126:$N126,{"*TOWN OF*","*CITY OF*"}))&gt;0,"✓","")</f>
        <v>✓</v>
      </c>
      <c r="C126" s="3" t="str">
        <f t="shared" si="1"/>
        <v/>
      </c>
      <c r="D126" t="s">
        <v>293</v>
      </c>
      <c r="E126" t="s">
        <v>6</v>
      </c>
      <c r="F126" s="3" t="s">
        <v>283</v>
      </c>
      <c r="G126" s="3">
        <v>6</v>
      </c>
      <c r="H126" t="str" cm="1">
        <f t="array" ref="H126:M126">IFERROR(
  _xlfn.LET(
    _xlpm.clean, _xlfn.LAMBDA(_xlpm.x, TRIM(SUBSTITUTE(_xlpm.x,CHAR(160)," "))),
    _xlpm.t, CLEAN($D126),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MONSON, TOWN OF</v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 spans="2:13" x14ac:dyDescent="0.35">
      <c r="B127" s="3" t="str" cm="1">
        <f t="array" ref="B127">IF(SUM(COUNTIF($H127:$N127,{"*TOWN OF*","*CITY OF*"}))&gt;0,"✓","")</f>
        <v>✓</v>
      </c>
      <c r="C127" s="3" t="str">
        <f t="shared" si="1"/>
        <v/>
      </c>
      <c r="D127" t="s">
        <v>296</v>
      </c>
      <c r="E127" t="s">
        <v>5</v>
      </c>
      <c r="F127" s="3" t="s">
        <v>283</v>
      </c>
      <c r="G127" s="3">
        <v>6</v>
      </c>
      <c r="H127" t="str" cm="1">
        <f t="array" ref="H127:M127">IFERROR(
  _xlfn.LET(
    _xlpm.clean, _xlfn.LAMBDA(_xlpm.x, TRIM(SUBSTITUTE(_xlpm.x,CHAR(160)," "))),
    _xlpm.t, CLEAN($D127),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PALMER, TOWN OF</v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 spans="2:13" x14ac:dyDescent="0.35">
      <c r="B128" s="3" t="str" cm="1">
        <f t="array" ref="B128">IF(SUM(COUNTIF($H128:$N128,{"*TOWN OF*","*CITY OF*"}))&gt;0,"✓","")</f>
        <v>✓</v>
      </c>
      <c r="C128" s="3" t="str">
        <f t="shared" si="1"/>
        <v/>
      </c>
      <c r="D128" t="s">
        <v>300</v>
      </c>
      <c r="E128" t="s">
        <v>5</v>
      </c>
      <c r="F128" s="3" t="s">
        <v>312</v>
      </c>
      <c r="G128" s="3">
        <v>6</v>
      </c>
      <c r="H128" t="str" cm="1">
        <f t="array" ref="H128:M128">IFERROR(
  _xlfn.LET(
    _xlpm.clean, _xlfn.LAMBDA(_xlpm.x, TRIM(SUBSTITUTE(_xlpm.x,CHAR(160)," "))),
    _xlpm.t, CLEAN($D128),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SOUTHBRIDGE, TOWN OF</v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 spans="2:13" x14ac:dyDescent="0.35">
      <c r="B129" s="3" t="str" cm="1">
        <f t="array" ref="B129">IF(SUM(COUNTIF($H129:$N129,{"*TOWN OF*","*CITY OF*"}))&gt;0,"✓","")</f>
        <v>✓</v>
      </c>
      <c r="C129" s="3" t="str">
        <f t="shared" si="1"/>
        <v/>
      </c>
      <c r="D129" t="s">
        <v>302</v>
      </c>
      <c r="E129" t="s">
        <v>6</v>
      </c>
      <c r="F129" s="3" t="s">
        <v>312</v>
      </c>
      <c r="G129" s="3">
        <v>6</v>
      </c>
      <c r="H129" t="str" cm="1">
        <f t="array" ref="H129:M129">IFERROR(
  _xlfn.LET(
    _xlpm.clean, _xlfn.LAMBDA(_xlpm.x, TRIM(SUBSTITUTE(_xlpm.x,CHAR(160)," "))),
    _xlpm.t, CLEAN($D129),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STURBRIDGE, TOWN OF</v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 spans="2:13" x14ac:dyDescent="0.35">
      <c r="B130" s="3" t="str" cm="1">
        <f t="array" ref="B130">IF(SUM(COUNTIF($H130:$N130,{"*TOWN OF*","*CITY OF*"}))&gt;0,"✓","")</f>
        <v>✓</v>
      </c>
      <c r="C130" s="3" t="str">
        <f t="shared" si="1"/>
        <v/>
      </c>
      <c r="D130" t="s">
        <v>306</v>
      </c>
      <c r="E130" t="s">
        <v>6</v>
      </c>
      <c r="F130" s="3" t="s">
        <v>283</v>
      </c>
      <c r="G130" s="3">
        <v>6</v>
      </c>
      <c r="H130" t="str" cm="1">
        <f t="array" ref="H130:M130">IFERROR(
  _xlfn.LET(
    _xlpm.clean, _xlfn.LAMBDA(_xlpm.x, TRIM(SUBSTITUTE(_xlpm.x,CHAR(160)," "))),
    _xlpm.t, CLEAN($D130),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WALES, TOWN OF</v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 spans="2:13" x14ac:dyDescent="0.35">
      <c r="B131" s="3" t="str" cm="1">
        <f t="array" ref="B131">IF(SUM(COUNTIF($H131:$N131,{"*TOWN OF*","*CITY OF*"}))&gt;0,"✓","")</f>
        <v>✓</v>
      </c>
      <c r="C131" s="3" t="str">
        <f t="shared" ref="C131:C194" si="2">IF(AND($B131="",COUNTA($H131:$N131)&gt;0),"✓","")</f>
        <v/>
      </c>
      <c r="D131" t="s">
        <v>307</v>
      </c>
      <c r="E131" t="s">
        <v>6</v>
      </c>
      <c r="F131" s="3" t="s">
        <v>358</v>
      </c>
      <c r="G131" s="3">
        <v>6</v>
      </c>
      <c r="H131" t="str" cm="1">
        <f t="array" ref="H131:M131">IFERROR(
  _xlfn.LET(
    _xlpm.clean, _xlfn.LAMBDA(_xlpm.x, TRIM(SUBSTITUTE(_xlpm.x,CHAR(160)," "))),
    _xlpm.t, CLEAN($D131),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WARE, TOWN OF</v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 spans="2:13" x14ac:dyDescent="0.35">
      <c r="B132" s="3" t="str" cm="1">
        <f t="array" ref="B132">IF(SUM(COUNTIF($H132:$N132,{"*TOWN OF*","*CITY OF*"}))&gt;0,"✓","")</f>
        <v>✓</v>
      </c>
      <c r="C132" s="3" t="str">
        <f t="shared" si="2"/>
        <v/>
      </c>
      <c r="D132" t="s">
        <v>308</v>
      </c>
      <c r="E132" t="s">
        <v>6</v>
      </c>
      <c r="F132" s="3" t="s">
        <v>312</v>
      </c>
      <c r="G132" s="3">
        <v>6</v>
      </c>
      <c r="H132" t="str" cm="1">
        <f t="array" ref="H132:M132">IFERROR(
  _xlfn.LET(
    _xlpm.clean, _xlfn.LAMBDA(_xlpm.x, TRIM(SUBSTITUTE(_xlpm.x,CHAR(160)," "))),
    _xlpm.t, CLEAN($D132),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WARREN, TOWN OF</v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 spans="2:13" x14ac:dyDescent="0.35">
      <c r="B133" s="3" t="str" cm="1">
        <f t="array" ref="B133">IF(SUM(COUNTIF($H133:$N133,{"*TOWN OF*","*CITY OF*"}))&gt;0,"✓","")</f>
        <v>✓</v>
      </c>
      <c r="C133" s="3" t="str">
        <f t="shared" si="2"/>
        <v/>
      </c>
      <c r="D133" t="s">
        <v>309</v>
      </c>
      <c r="E133" t="s">
        <v>6</v>
      </c>
      <c r="F133" s="3" t="s">
        <v>312</v>
      </c>
      <c r="G133" s="3">
        <v>6</v>
      </c>
      <c r="H133" t="str" cm="1">
        <f t="array" ref="H133:M133">IFERROR(
  _xlfn.LET(
    _xlpm.clean, _xlfn.LAMBDA(_xlpm.x, TRIM(SUBSTITUTE(_xlpm.x,CHAR(160)," "))),
    _xlpm.t, CLEAN($D133),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WEBSTER, TOWN OF</v>
      </c>
      <c r="I133" t="str">
        <v>UNITED CHURCH OF CHRIST FEDERATED FIRST</v>
      </c>
      <c r="J133" t="str">
        <v>UNITED CHURCH OF CHRIST FEDERATED</v>
      </c>
      <c r="K133" t="str">
        <v/>
      </c>
      <c r="L133" t="str">
        <v/>
      </c>
      <c r="M133" t="str">
        <v/>
      </c>
    </row>
    <row r="134" spans="2:13" x14ac:dyDescent="0.35">
      <c r="B134" s="3" t="str" cm="1">
        <f t="array" ref="B134">IF(SUM(COUNTIF($H134:$N134,{"*TOWN OF*","*CITY OF*"}))&gt;0,"✓","")</f>
        <v>✓</v>
      </c>
      <c r="C134" s="3" t="str">
        <f t="shared" si="2"/>
        <v/>
      </c>
      <c r="D134" t="s">
        <v>310</v>
      </c>
      <c r="E134" t="s">
        <v>6</v>
      </c>
      <c r="F134" s="3" t="s">
        <v>312</v>
      </c>
      <c r="G134" s="3">
        <v>6</v>
      </c>
      <c r="H134" t="str" cm="1">
        <f t="array" ref="H134:M134">IFERROR(
  _xlfn.LET(
    _xlpm.clean, _xlfn.LAMBDA(_xlpm.x, TRIM(SUBSTITUTE(_xlpm.x,CHAR(160)," "))),
    _xlpm.t, CLEAN($D134),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 BROOKFIELD, TOWN OF</v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 spans="2:13" x14ac:dyDescent="0.35">
      <c r="B135" s="3" t="str" cm="1">
        <f t="array" ref="B135">IF(SUM(COUNTIF($H135:$N135,{"*TOWN OF*","*CITY OF*"}))&gt;0,"✓","")</f>
        <v>✓</v>
      </c>
      <c r="C135" s="3" t="str">
        <f t="shared" si="2"/>
        <v/>
      </c>
      <c r="D135" t="s">
        <v>311</v>
      </c>
      <c r="E135" t="s">
        <v>6</v>
      </c>
      <c r="F135" s="3" t="s">
        <v>283</v>
      </c>
      <c r="G135" s="3">
        <v>6</v>
      </c>
      <c r="H135" t="str" cm="1">
        <f t="array" ref="H135:M135">IFERROR(
  _xlfn.LET(
    _xlpm.clean, _xlfn.LAMBDA(_xlpm.x, TRIM(SUBSTITUTE(_xlpm.x,CHAR(160)," "))),
    _xlpm.t, CLEAN($D135),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WILBRAHAM, TOWN OF</v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 spans="2:13" x14ac:dyDescent="0.35">
      <c r="B136" s="3" t="str" cm="1">
        <f t="array" ref="B136">IF(SUM(COUNTIF($H136:$N136,{"*TOWN OF*","*CITY OF*"}))&gt;0,"✓","")</f>
        <v>✓</v>
      </c>
      <c r="C136" s="3" t="str">
        <f t="shared" si="2"/>
        <v/>
      </c>
      <c r="D136" t="s">
        <v>270</v>
      </c>
      <c r="E136" t="s">
        <v>6</v>
      </c>
      <c r="F136" s="3" t="s">
        <v>312</v>
      </c>
      <c r="G136" s="3">
        <v>7</v>
      </c>
      <c r="H136" t="str" cm="1">
        <f t="array" ref="H136:M136">IFERROR(
  _xlfn.LET(
    _xlpm.clean, _xlfn.LAMBDA(_xlpm.x, TRIM(SUBSTITUTE(_xlpm.x,CHAR(160)," "))),
    _xlpm.t, CLEAN($D136),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AUBURN, TOWN OF - 3/23/2026</v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 spans="2:13" x14ac:dyDescent="0.35">
      <c r="B137" s="3" t="str" cm="1">
        <f t="array" ref="B137">IF(SUM(COUNTIF($H137:$N137,{"*TOWN OF*","*CITY OF*"}))&gt;0,"✓","")</f>
        <v>✓</v>
      </c>
      <c r="C137" s="3" t="str">
        <f t="shared" si="2"/>
        <v/>
      </c>
      <c r="D137" t="s">
        <v>272</v>
      </c>
      <c r="E137" t="s">
        <v>6</v>
      </c>
      <c r="F137" s="3" t="s">
        <v>250</v>
      </c>
      <c r="G137" s="3">
        <v>7</v>
      </c>
      <c r="H137" t="str" cm="1">
        <f t="array" ref="H137:M137">IFERROR(
  _xlfn.LET(
    _xlpm.clean, _xlfn.LAMBDA(_xlpm.x, TRIM(SUBSTITUTE(_xlpm.x,CHAR(160)," "))),
    _xlpm.t, CLEAN($D137),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BELLINGHAM, TOWN OF - 5/4/2026</v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 spans="2:13" x14ac:dyDescent="0.35">
      <c r="B138" s="3" t="str" cm="1">
        <f t="array" ref="B138">IF(SUM(COUNTIF($H138:$N138,{"*TOWN OF*","*CITY OF*"}))&gt;0,"✓","")</f>
        <v>✓</v>
      </c>
      <c r="C138" s="3" t="str">
        <f t="shared" si="2"/>
        <v/>
      </c>
      <c r="D138" t="s">
        <v>273</v>
      </c>
      <c r="E138" t="s">
        <v>6</v>
      </c>
      <c r="F138" s="3" t="s">
        <v>312</v>
      </c>
      <c r="G138" s="3">
        <v>7</v>
      </c>
      <c r="H138" t="str" cm="1">
        <f t="array" ref="H138:M138">IFERROR(
  _xlfn.LET(
    _xlpm.clean, _xlfn.LAMBDA(_xlpm.x, TRIM(SUBSTITUTE(_xlpm.x,CHAR(160)," "))),
    _xlpm.t, CLEAN($D138),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BLACKSTONE, TOWN OF - 3/31/2026</v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 spans="2:13" x14ac:dyDescent="0.35">
      <c r="B139" s="3" t="str" cm="1">
        <f t="array" ref="B139">IF(SUM(COUNTIF($H139:$N139,{"*TOWN OF*","*CITY OF*"}))&gt;0,"✓","")</f>
        <v>✓</v>
      </c>
      <c r="C139" s="3" t="str">
        <f t="shared" si="2"/>
        <v/>
      </c>
      <c r="D139" t="s">
        <v>277</v>
      </c>
      <c r="E139" t="s">
        <v>6</v>
      </c>
      <c r="F139" s="3" t="s">
        <v>312</v>
      </c>
      <c r="G139" s="3">
        <v>7</v>
      </c>
      <c r="H139" t="str" cm="1">
        <f t="array" ref="H139:M139">IFERROR(
  _xlfn.LET(
    _xlpm.clean, _xlfn.LAMBDA(_xlpm.x, TRIM(SUBSTITUTE(_xlpm.x,CHAR(160)," "))),
    _xlpm.t, CLEAN($D139),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DOUGLAS, TOWN OF - 3/31/2026</v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 spans="2:13" x14ac:dyDescent="0.35">
      <c r="B140" s="3" t="str" cm="1">
        <f t="array" ref="B140">IF(SUM(COUNTIF($H140:$N140,{"*TOWN OF*","*CITY OF*"}))&gt;0,"✓","")</f>
        <v>✓</v>
      </c>
      <c r="C140" s="3" t="str">
        <f t="shared" si="2"/>
        <v/>
      </c>
      <c r="D140" t="s">
        <v>281</v>
      </c>
      <c r="E140" t="s">
        <v>6</v>
      </c>
      <c r="F140" s="3" t="s">
        <v>312</v>
      </c>
      <c r="G140" s="3">
        <v>7</v>
      </c>
      <c r="H140" t="str" cm="1">
        <f t="array" ref="H140:M140">IFERROR(
  _xlfn.LET(
    _xlpm.clean, _xlfn.LAMBDA(_xlpm.x, TRIM(SUBSTITUTE(_xlpm.x,CHAR(160)," "))),
    _xlpm.t, CLEAN($D140),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 GRAFTON WATER DISTRICT - 4/27/2026</v>
      </c>
      <c r="I140" t="str">
        <v>GRAFTON, TOWN OF - 4/29/2026</v>
      </c>
      <c r="J140" t="str">
        <v>GRAFTON WATER DISTRICT - 4/27/2026</v>
      </c>
      <c r="K140" t="str">
        <v/>
      </c>
      <c r="L140" t="str">
        <v/>
      </c>
      <c r="M140" t="str">
        <v/>
      </c>
    </row>
    <row r="141" spans="2:13" x14ac:dyDescent="0.35">
      <c r="B141" s="3" t="str" cm="1">
        <f t="array" ref="B141">IF(SUM(COUNTIF($H141:$N141,{"*TOWN OF*","*CITY OF*"}))&gt;0,"✓","")</f>
        <v>✓</v>
      </c>
      <c r="C141" s="3" t="str">
        <f t="shared" si="2"/>
        <v/>
      </c>
      <c r="D141" t="s">
        <v>284</v>
      </c>
      <c r="E141" t="s">
        <v>6</v>
      </c>
      <c r="F141" s="3" t="s">
        <v>312</v>
      </c>
      <c r="G141" s="3">
        <v>7</v>
      </c>
      <c r="H141" t="str" cm="1">
        <f t="array" ref="H141:M141">IFERROR(
  _xlfn.LET(
    _xlpm.clean, _xlfn.LAMBDA(_xlpm.x, TRIM(SUBSTITUTE(_xlpm.x,CHAR(160)," "))),
    _xlpm.t, CLEAN($D141),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WACHUSETT RSD</v>
      </c>
      <c r="I141" t="str">
        <v>HOLDEN, TOWN OF - 4/10/2026</v>
      </c>
      <c r="J141" t="str">
        <v/>
      </c>
      <c r="K141" t="str">
        <v/>
      </c>
      <c r="L141" t="str">
        <v/>
      </c>
      <c r="M141" t="str">
        <v/>
      </c>
    </row>
    <row r="142" spans="2:13" x14ac:dyDescent="0.35">
      <c r="B142" s="3" t="str" cm="1">
        <f t="array" ref="B142">IF(SUM(COUNTIF($H142:$N142,{"*TOWN OF*","*CITY OF*"}))&gt;0,"✓","")</f>
        <v>✓</v>
      </c>
      <c r="C142" s="3" t="str">
        <f t="shared" si="2"/>
        <v/>
      </c>
      <c r="D142" t="s">
        <v>286</v>
      </c>
      <c r="E142" t="s">
        <v>6</v>
      </c>
      <c r="F142" s="3" t="s">
        <v>312</v>
      </c>
      <c r="G142" s="3">
        <v>7</v>
      </c>
      <c r="H142" t="str" cm="1">
        <f t="array" ref="H142:M142">IFERROR(
  _xlfn.LET(
    _xlpm.clean, _xlfn.LAMBDA(_xlpm.x, TRIM(SUBSTITUTE(_xlpm.x,CHAR(160)," "))),
    _xlpm.t, CLEAN($D142),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HOPEDALE, TOWN OF - 3/30/2026</v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 spans="2:13" x14ac:dyDescent="0.35">
      <c r="B143" s="3" t="str" cm="1">
        <f t="array" ref="B143">IF(SUM(COUNTIF($H143:$N143,{"*TOWN OF*","*CITY OF*"}))&gt;0,"✓","")</f>
        <v>✓</v>
      </c>
      <c r="C143" s="3" t="str">
        <f t="shared" si="2"/>
        <v/>
      </c>
      <c r="D143" t="s">
        <v>287</v>
      </c>
      <c r="E143" t="s">
        <v>6</v>
      </c>
      <c r="F143" s="3" t="s">
        <v>312</v>
      </c>
      <c r="G143" s="3">
        <v>7</v>
      </c>
      <c r="H143" t="str" cm="1">
        <f t="array" ref="H143:M143">IFERROR(
  _xlfn.LET(
    _xlpm.clean, _xlfn.LAMBDA(_xlpm.x, TRIM(SUBSTITUTE(_xlpm.x,CHAR(160)," "))),
    _xlpm.t, CLEAN($D143),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LEICESTER, TOWN OF - 4/1/2026</v>
      </c>
      <c r="I143" t="str">
        <v>LEICESTER WATER SUPPLY DISTRICT - 4/9/2026</v>
      </c>
      <c r="J143" t="str">
        <v>LEICESTER PUBLIC LIBRARY BOARD OF TRUSTEES - 5/19/2026</v>
      </c>
      <c r="K143" t="str">
        <v>HILLCREST SEWER DISTRICT - 4/9/2026</v>
      </c>
      <c r="L143" t="str">
        <v>CHERRY VALLEY SEWER DISTRICT - 4/1/2026</v>
      </c>
      <c r="M143" t="str">
        <v>CHERRY VALLEY &amp; ROCHDALE WATER DISTRICT - 4/1/2026</v>
      </c>
    </row>
    <row r="144" spans="2:13" x14ac:dyDescent="0.35">
      <c r="B144" s="3" t="str" cm="1">
        <f t="array" ref="B144">IF(SUM(COUNTIF($H144:$N144,{"*TOWN OF*","*CITY OF*"}))&gt;0,"✓","")</f>
        <v>✓</v>
      </c>
      <c r="C144" s="3" t="str">
        <f t="shared" si="2"/>
        <v/>
      </c>
      <c r="D144" t="s">
        <v>289</v>
      </c>
      <c r="E144" t="s">
        <v>6</v>
      </c>
      <c r="F144" s="3" t="s">
        <v>312</v>
      </c>
      <c r="G144" s="3">
        <v>7</v>
      </c>
      <c r="H144" t="str" cm="1">
        <f t="array" ref="H144:M144">IFERROR(
  _xlfn.LET(
    _xlpm.clean, _xlfn.LAMBDA(_xlpm.x, TRIM(SUBSTITUTE(_xlpm.x,CHAR(160)," "))),
    _xlpm.t, CLEAN($D144),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MENDON, TOWN OF - 3/30/2026</v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 spans="2:14" x14ac:dyDescent="0.35">
      <c r="B145" s="3" t="str" cm="1">
        <f t="array" ref="B145">IF(SUM(COUNTIF($H145:$N145,{"*TOWN OF*","*CITY OF*"}))&gt;0,"✓","")</f>
        <v>✓</v>
      </c>
      <c r="C145" s="3" t="str">
        <f t="shared" si="2"/>
        <v/>
      </c>
      <c r="D145" t="s">
        <v>290</v>
      </c>
      <c r="E145" t="s">
        <v>6</v>
      </c>
      <c r="F145" s="3" t="s">
        <v>312</v>
      </c>
      <c r="G145" s="3">
        <v>7</v>
      </c>
      <c r="H145" t="str" cm="1">
        <f t="array" ref="H145:M145">IFERROR(
  _xlfn.LET(
    _xlpm.clean, _xlfn.LAMBDA(_xlpm.x, TRIM(SUBSTITUTE(_xlpm.x,CHAR(160)," "))),
    _xlpm.t, CLEAN($D145),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MILFORD, TOWN OF - 3/31/2026</v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 spans="2:14" x14ac:dyDescent="0.35">
      <c r="B146" s="3" t="str" cm="1">
        <f t="array" ref="B146">IF(SUM(COUNTIF($H146:$N146,{"*TOWN OF*","*CITY OF*"}))&gt;0,"✓","")</f>
        <v>✓</v>
      </c>
      <c r="C146" s="3" t="str">
        <f t="shared" si="2"/>
        <v/>
      </c>
      <c r="D146" t="s">
        <v>291</v>
      </c>
      <c r="E146" t="s">
        <v>6</v>
      </c>
      <c r="F146" s="3" t="s">
        <v>312</v>
      </c>
      <c r="G146" s="3">
        <v>7</v>
      </c>
      <c r="H146" t="str" cm="1">
        <f t="array" ref="H146:M146">IFERROR(
  _xlfn.LET(
    _xlpm.clean, _xlfn.LAMBDA(_xlpm.x, TRIM(SUBSTITUTE(_xlpm.x,CHAR(160)," "))),
    _xlpm.t, CLEAN($D146),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MILLBURY, TOWN OF - 3/30/2026</v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 spans="2:14" x14ac:dyDescent="0.35">
      <c r="B147" s="3" t="str" cm="1">
        <f t="array" ref="B147">IF(SUM(COUNTIF($H147:$N147,{"*TOWN OF*","*CITY OF*"}))&gt;0,"✓","")</f>
        <v>✓</v>
      </c>
      <c r="C147" s="3" t="str">
        <f t="shared" si="2"/>
        <v/>
      </c>
      <c r="D147" t="s">
        <v>292</v>
      </c>
      <c r="E147" t="s">
        <v>6</v>
      </c>
      <c r="F147" s="3" t="s">
        <v>312</v>
      </c>
      <c r="G147" s="3">
        <v>7</v>
      </c>
      <c r="H147" t="str" cm="1">
        <f t="array" ref="H147:M147">IFERROR(
  _xlfn.LET(
    _xlpm.clean, _xlfn.LAMBDA(_xlpm.x, TRIM(SUBSTITUTE(_xlpm.x,CHAR(160)," "))),
    _xlpm.t, CLEAN($D147),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MILLVILLE, TOWN OF</v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 spans="2:14" x14ac:dyDescent="0.35">
      <c r="B148" s="3" t="str" cm="1">
        <f t="array" ref="B148">IF(SUM(COUNTIF($H148:$N148,{"*TOWN OF*","*CITY OF*"}))&gt;0,"✓","")</f>
        <v>✓</v>
      </c>
      <c r="C148" s="3" t="str">
        <f t="shared" si="2"/>
        <v/>
      </c>
      <c r="D148" s="6" t="s">
        <v>294</v>
      </c>
      <c r="E148" s="6" t="s">
        <v>6</v>
      </c>
      <c r="F148" s="5" t="s">
        <v>312</v>
      </c>
      <c r="G148" s="3">
        <v>7</v>
      </c>
      <c r="H148" t="str" cm="1">
        <f t="array" ref="H148:M148">IFERROR(
  _xlfn.LET(
    _xlpm.clean, _xlfn.LAMBDA(_xlpm.x, TRIM(SUBSTITUTE(_xlpm.x,CHAR(160)," "))),
    _xlpm.t, CLEAN($D148),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NORTHBRIDGE, TOWN OF</v>
      </c>
      <c r="I148" s="6" t="str">
        <v/>
      </c>
      <c r="J148" s="6" t="str">
        <v/>
      </c>
      <c r="K148" s="6" t="str">
        <v/>
      </c>
      <c r="L148" s="6" t="str">
        <v/>
      </c>
      <c r="M148" s="6" t="str">
        <v/>
      </c>
      <c r="N148" s="6"/>
    </row>
    <row r="149" spans="2:14" x14ac:dyDescent="0.35">
      <c r="B149" s="3" t="str" cm="1">
        <f t="array" ref="B149">IF(SUM(COUNTIF($H149:$N149,{"*TOWN OF*","*CITY OF*"}))&gt;0,"✓","")</f>
        <v>✓</v>
      </c>
      <c r="C149" s="3" t="str">
        <f t="shared" si="2"/>
        <v/>
      </c>
      <c r="D149" t="s">
        <v>295</v>
      </c>
      <c r="E149" t="s">
        <v>6</v>
      </c>
      <c r="F149" s="3" t="s">
        <v>312</v>
      </c>
      <c r="G149" s="3">
        <v>7</v>
      </c>
      <c r="H149" t="str" cm="1">
        <f t="array" ref="H149:M149">IFERROR(
  _xlfn.LET(
    _xlpm.clean, _xlfn.LAMBDA(_xlpm.x, TRIM(SUBSTITUTE(_xlpm.x,CHAR(160)," "))),
    _xlpm.t, CLEAN($D149),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OXFORD-ROCHDALE SEWER DISTRICT - 4/9/2026</v>
      </c>
      <c r="I149" t="str">
        <v>OXFORD, TOWN OF - 3/17/2026</v>
      </c>
      <c r="J149" t="str">
        <v/>
      </c>
      <c r="K149" t="str">
        <v/>
      </c>
      <c r="L149" t="str">
        <v/>
      </c>
      <c r="M149" t="str">
        <v/>
      </c>
    </row>
    <row r="150" spans="2:14" x14ac:dyDescent="0.35">
      <c r="B150" s="3" t="str" cm="1">
        <f t="array" ref="B150">IF(SUM(COUNTIF($H150:$N150,{"*TOWN OF*","*CITY OF*"}))&gt;0,"✓","")</f>
        <v>✓</v>
      </c>
      <c r="C150" s="3" t="str">
        <f t="shared" si="2"/>
        <v/>
      </c>
      <c r="D150" t="s">
        <v>297</v>
      </c>
      <c r="E150" t="s">
        <v>6</v>
      </c>
      <c r="F150" s="3" t="s">
        <v>312</v>
      </c>
      <c r="G150" s="3">
        <v>7</v>
      </c>
      <c r="H150" t="str" cm="1">
        <f t="array" ref="H150:M150">IFERROR(
  _xlfn.LET(
    _xlpm.clean, _xlfn.LAMBDA(_xlpm.x, TRIM(SUBSTITUTE(_xlpm.x,CHAR(160)," "))),
    _xlpm.t, CLEAN($D150),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PAXTON, TOWN OF - 4/1/2026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 spans="2:14" x14ac:dyDescent="0.35">
      <c r="B151" s="3" t="str" cm="1">
        <f t="array" ref="B151">IF(SUM(COUNTIF($H151:$N151,{"*TOWN OF*","*CITY OF*"}))&gt;0,"✓","")</f>
        <v>✓</v>
      </c>
      <c r="C151" s="3" t="str">
        <f t="shared" si="2"/>
        <v/>
      </c>
      <c r="D151" t="s">
        <v>299</v>
      </c>
      <c r="E151" t="s">
        <v>6</v>
      </c>
      <c r="F151" s="3" t="s">
        <v>312</v>
      </c>
      <c r="G151" s="3">
        <v>7</v>
      </c>
      <c r="H151" t="str" cm="1">
        <f t="array" ref="H151:M151">IFERROR(
  _xlfn.LET(
    _xlpm.clean, _xlfn.LAMBDA(_xlpm.x, TRIM(SUBSTITUTE(_xlpm.x,CHAR(160)," "))),
    _xlpm.t, CLEAN($D151),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SHREWSBURY, TOWN OF - 5/15/2026</v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 spans="2:14" x14ac:dyDescent="0.35">
      <c r="B152" s="3" t="str" cm="1">
        <f t="array" ref="B152">IF(SUM(COUNTIF($H152:$N152,{"*TOWN OF*","*CITY OF*"}))&gt;0,"✓","")</f>
        <v>✓</v>
      </c>
      <c r="C152" s="3" t="str">
        <f t="shared" si="2"/>
        <v/>
      </c>
      <c r="D152" t="s">
        <v>301</v>
      </c>
      <c r="E152" t="s">
        <v>6</v>
      </c>
      <c r="F152" s="3" t="s">
        <v>312</v>
      </c>
      <c r="G152" s="3">
        <v>7</v>
      </c>
      <c r="H152" t="str" cm="1">
        <f t="array" ref="H152:M152">IFERROR(
  _xlfn.LET(
    _xlpm.clean, _xlfn.LAMBDA(_xlpm.x, TRIM(SUBSTITUTE(_xlpm.x,CHAR(160)," "))),
    _xlpm.t, CLEAN($D152),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SPENCER, TOWN OF - 6/26/2026</v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 spans="2:14" x14ac:dyDescent="0.35">
      <c r="B153" s="3" t="str" cm="1">
        <f t="array" ref="B153">IF(SUM(COUNTIF($H153:$N153,{"*TOWN OF*","*CITY OF*"}))&gt;0,"✓","")</f>
        <v>✓</v>
      </c>
      <c r="C153" s="3" t="str">
        <f t="shared" si="2"/>
        <v/>
      </c>
      <c r="D153" t="s">
        <v>303</v>
      </c>
      <c r="E153" t="s">
        <v>6</v>
      </c>
      <c r="F153" s="3" t="s">
        <v>312</v>
      </c>
      <c r="G153" s="3">
        <v>7</v>
      </c>
      <c r="H153" t="str" cm="1">
        <f t="array" ref="H153:M153">IFERROR(
  _xlfn.LET(
    _xlpm.clean, _xlfn.LAMBDA(_xlpm.x, TRIM(SUBSTITUTE(_xlpm.x,CHAR(160)," "))),
    _xlpm.t, CLEAN($D153),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SUTTON, TOWN OF - 1/29/2026</v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 spans="2:14" x14ac:dyDescent="0.35">
      <c r="B154" s="3" t="str" cm="1">
        <f t="array" ref="B154">IF(SUM(COUNTIF($H154:$N154,{"*TOWN OF*","*CITY OF*"}))&gt;0,"✓","")</f>
        <v>✓</v>
      </c>
      <c r="C154" s="3" t="str">
        <f t="shared" si="2"/>
        <v/>
      </c>
      <c r="D154" t="s">
        <v>304</v>
      </c>
      <c r="E154" t="s">
        <v>6</v>
      </c>
      <c r="F154" s="3" t="s">
        <v>312</v>
      </c>
      <c r="G154" s="3">
        <v>7</v>
      </c>
      <c r="H154" t="str" cm="1">
        <f t="array" ref="H154:M154">IFERROR(
  _xlfn.LET(
    _xlpm.clean, _xlfn.LAMBDA(_xlpm.x, TRIM(SUBSTITUTE(_xlpm.x,CHAR(160)," "))),
    _xlpm.t, CLEAN($D154),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UPTON, TOWN OF - 3/30/2026</v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 spans="2:14" x14ac:dyDescent="0.35">
      <c r="B155" s="3" t="str" cm="1">
        <f t="array" ref="B155">IF(SUM(COUNTIF($H155:$N155,{"*TOWN OF*","*CITY OF*"}))&gt;0,"✓","")</f>
        <v>✓</v>
      </c>
      <c r="C155" s="3" t="str">
        <f t="shared" si="2"/>
        <v/>
      </c>
      <c r="D155" t="s">
        <v>305</v>
      </c>
      <c r="E155" t="s">
        <v>6</v>
      </c>
      <c r="F155" s="3" t="s">
        <v>312</v>
      </c>
      <c r="G155" s="3">
        <v>7</v>
      </c>
      <c r="H155" t="str" cm="1">
        <f t="array" ref="H155:M155">IFERROR(
  _xlfn.LET(
    _xlpm.clean, _xlfn.LAMBDA(_xlpm.x, TRIM(SUBSTITUTE(_xlpm.x,CHAR(160)," "))),
    _xlpm.t, CLEAN($D155),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UXBRIDGE, TOWN OF - 5/4/2026</v>
      </c>
      <c r="I155" t="str">
        <v>UXBRIDGE SELECTBOARD</v>
      </c>
      <c r="J155" t="str">
        <v/>
      </c>
      <c r="K155" t="str">
        <v/>
      </c>
      <c r="L155" t="str">
        <v/>
      </c>
      <c r="M155" t="str">
        <v/>
      </c>
    </row>
    <row r="156" spans="2:14" x14ac:dyDescent="0.35">
      <c r="B156" s="3" t="str" cm="1">
        <f t="array" ref="B156">IF(SUM(COUNTIF($H156:$N156,{"*TOWN OF*","*CITY OF*"}))&gt;0,"✓","")</f>
        <v/>
      </c>
      <c r="C156" s="3" t="str">
        <f t="shared" si="2"/>
        <v>✓</v>
      </c>
      <c r="D156" t="s">
        <v>312</v>
      </c>
      <c r="E156" t="s">
        <v>5</v>
      </c>
      <c r="F156" s="3" t="s">
        <v>312</v>
      </c>
      <c r="G156" s="3">
        <v>7</v>
      </c>
      <c r="H156" t="str" cm="1">
        <f t="array" ref="H156:M156">IFERROR(
  _xlfn.LET(
    _xlpm.clean, _xlfn.LAMBDA(_xlpm.x, TRIM(SUBSTITUTE(_xlpm.x,CHAR(160)," "))),
    _xlpm.t, CLEAN($D156),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WORCESTER TRUST</v>
      </c>
      <c r="I156" t="str">
        <v>WORCESTER REGIONAL STRATEGIC OPP FOUNDATION</v>
      </c>
      <c r="J156" t="str">
        <v>WORCESTER CENTER FOR PERFORMING ARTS INC</v>
      </c>
      <c r="K156" t="str">
        <v>TRINITY LUTHERAN CHURCH - 3/4/2026</v>
      </c>
      <c r="L156" t="str">
        <v>PRESERVATION WORCESTER - 4/15/2026</v>
      </c>
      <c r="M156" t="str">
        <v>ELDER SERVICES OF WORCESTER - 1/13/2026</v>
      </c>
    </row>
    <row r="157" spans="2:14" x14ac:dyDescent="0.35">
      <c r="B157" s="3" t="str" cm="1">
        <f t="array" ref="B157">IF(SUM(COUNTIF($H157:$N157,{"*TOWN OF*","*CITY OF*"}))&gt;0,"✓","")</f>
        <v>✓</v>
      </c>
      <c r="C157" s="3" t="str">
        <f t="shared" si="2"/>
        <v/>
      </c>
      <c r="D157" t="s">
        <v>96</v>
      </c>
      <c r="E157" t="s">
        <v>6</v>
      </c>
      <c r="F157" s="3" t="s">
        <v>360</v>
      </c>
      <c r="G157" s="3">
        <v>8</v>
      </c>
      <c r="H157" t="str" cm="1">
        <f t="array" ref="H157:M157">IFERROR(
  _xlfn.LET(
    _xlpm.clean, _xlfn.LAMBDA(_xlpm.x, TRIM(SUBSTITUTE(_xlpm.x,CHAR(160)," "))),
    _xlpm.t, CLEAN($D157),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ACTON-BOXBOROUGH RSD</v>
      </c>
      <c r="I157" t="str">
        <v>ACTON, TOWN OF - 3/16/2026</v>
      </c>
      <c r="J157" t="str">
        <v/>
      </c>
      <c r="K157" t="str">
        <v/>
      </c>
      <c r="L157" t="str">
        <v/>
      </c>
      <c r="M157" t="str">
        <v/>
      </c>
    </row>
    <row r="158" spans="2:14" x14ac:dyDescent="0.35">
      <c r="B158" s="3" t="str" cm="1">
        <f t="array" ref="B158">IF(SUM(COUNTIF($H158:$N158,{"*TOWN OF*","*CITY OF*"}))&gt;0,"✓","")</f>
        <v>✓</v>
      </c>
      <c r="C158" s="3" t="str">
        <f t="shared" si="2"/>
        <v/>
      </c>
      <c r="D158" t="s">
        <v>100</v>
      </c>
      <c r="E158" t="s">
        <v>6</v>
      </c>
      <c r="F158" s="3" t="s">
        <v>360</v>
      </c>
      <c r="G158" s="3">
        <v>8</v>
      </c>
      <c r="H158" t="str" cm="1">
        <f t="array" ref="H158:M158">IFERROR(
  _xlfn.LET(
    _xlpm.clean, _xlfn.LAMBDA(_xlpm.x, TRIM(SUBSTITUTE(_xlpm.x,CHAR(160)," "))),
    _xlpm.t, CLEAN($D158),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NASHOBA ASSOCIATED BOARDS OF HEALTH</v>
      </c>
      <c r="I158" t="str">
        <v>AYER, TOWN OF - 3/16/2026</v>
      </c>
      <c r="J158" t="str">
        <v/>
      </c>
      <c r="K158" t="str">
        <v/>
      </c>
      <c r="L158" t="str">
        <v/>
      </c>
      <c r="M158" t="str">
        <v/>
      </c>
    </row>
    <row r="159" spans="2:14" x14ac:dyDescent="0.35">
      <c r="B159" s="3" t="str" cm="1">
        <f t="array" ref="B159">IF(SUM(COUNTIF($H159:$N159,{"*TOWN OF*","*CITY OF*"}))&gt;0,"✓","")</f>
        <v>✓</v>
      </c>
      <c r="C159" s="3" t="str">
        <f t="shared" si="2"/>
        <v/>
      </c>
      <c r="D159" t="s">
        <v>102</v>
      </c>
      <c r="E159" t="s">
        <v>6</v>
      </c>
      <c r="F159" s="3" t="s">
        <v>312</v>
      </c>
      <c r="G159" s="3">
        <v>8</v>
      </c>
      <c r="H159" t="str" cm="1">
        <f t="array" ref="H159:M159">IFERROR(
  _xlfn.LET(
    _xlpm.clean, _xlfn.LAMBDA(_xlpm.x, TRIM(SUBSTITUTE(_xlpm.x,CHAR(160)," "))),
    _xlpm.t, CLEAN($D159),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BERLIN, TOWN OF - 6/24/2026</v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 spans="2:14" x14ac:dyDescent="0.35">
      <c r="B160" s="3" t="str" cm="1">
        <f t="array" ref="B160">IF(SUM(COUNTIF($H160:$N160,{"*TOWN OF*","*CITY OF*"}))&gt;0,"✓","")</f>
        <v>✓</v>
      </c>
      <c r="C160" s="3" t="str">
        <f t="shared" si="2"/>
        <v/>
      </c>
      <c r="D160" t="s">
        <v>103</v>
      </c>
      <c r="E160" t="s">
        <v>6</v>
      </c>
      <c r="F160" s="3" t="s">
        <v>312</v>
      </c>
      <c r="G160" s="3">
        <v>8</v>
      </c>
      <c r="H160" t="str" cm="1">
        <f t="array" ref="H160:M160">IFERROR(
  _xlfn.LET(
    _xlpm.clean, _xlfn.LAMBDA(_xlpm.x, TRIM(SUBSTITUTE(_xlpm.x,CHAR(160)," "))),
    _xlpm.t, CLEAN($D160),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NASHOBA RSD</v>
      </c>
      <c r="I160" t="str">
        <v>BOLTON, TOWN OF - 3/19/2026</v>
      </c>
      <c r="J160" t="str">
        <v/>
      </c>
      <c r="K160" t="str">
        <v/>
      </c>
      <c r="L160" t="str">
        <v/>
      </c>
      <c r="M160" t="str">
        <v/>
      </c>
    </row>
    <row r="161" spans="2:13" x14ac:dyDescent="0.35">
      <c r="B161" s="3" t="str" cm="1">
        <f t="array" ref="B161">IF(SUM(COUNTIF($H161:$N161,{"*TOWN OF*","*CITY OF*"}))&gt;0,"✓","")</f>
        <v>✓</v>
      </c>
      <c r="C161" s="3" t="str">
        <f t="shared" si="2"/>
        <v/>
      </c>
      <c r="D161" t="s">
        <v>104</v>
      </c>
      <c r="E161" t="s">
        <v>6</v>
      </c>
      <c r="F161" s="3" t="s">
        <v>360</v>
      </c>
      <c r="G161" s="3">
        <v>8</v>
      </c>
      <c r="H161" t="str" cm="1">
        <f t="array" ref="H161:M161">IFERROR(
  _xlfn.LET(
    _xlpm.clean, _xlfn.LAMBDA(_xlpm.x, TRIM(SUBSTITUTE(_xlpm.x,CHAR(160)," "))),
    _xlpm.t, CLEAN($D161),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BOXBOROUGH, TOWN OF - 4/29/2026</v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 spans="2:13" x14ac:dyDescent="0.35">
      <c r="B162" s="3" t="str" cm="1">
        <f t="array" ref="B162">IF(SUM(COUNTIF($H162:$N162,{"*TOWN OF*","*CITY OF*"}))&gt;0,"✓","")</f>
        <v>✓</v>
      </c>
      <c r="C162" s="3" t="str">
        <f t="shared" si="2"/>
        <v/>
      </c>
      <c r="D162" t="s">
        <v>106</v>
      </c>
      <c r="E162" t="s">
        <v>6</v>
      </c>
      <c r="F162" s="3" t="s">
        <v>312</v>
      </c>
      <c r="G162" s="3">
        <v>8</v>
      </c>
      <c r="H162" t="str" cm="1">
        <f t="array" ref="H162:M162">IFERROR(
  _xlfn.LET(
    _xlpm.clean, _xlfn.LAMBDA(_xlpm.x, TRIM(SUBSTITUTE(_xlpm.x,CHAR(160)," "))),
    _xlpm.t, CLEAN($D162),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CLINTON, TOWN OF</v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 spans="2:13" x14ac:dyDescent="0.35">
      <c r="B163" s="3" t="str" cm="1">
        <f t="array" ref="B163">IF(SUM(COUNTIF($H163:$N163,{"*TOWN OF*","*CITY OF*"}))&gt;0,"✓","")</f>
        <v>✓</v>
      </c>
      <c r="C163" s="3" t="str">
        <f t="shared" si="2"/>
        <v/>
      </c>
      <c r="D163" t="s">
        <v>109</v>
      </c>
      <c r="E163" t="s">
        <v>6</v>
      </c>
      <c r="F163" s="3" t="s">
        <v>360</v>
      </c>
      <c r="G163" s="3">
        <v>8</v>
      </c>
      <c r="H163" t="str" cm="1">
        <f t="array" ref="H163:M163">IFERROR(
  _xlfn.LET(
    _xlpm.clean, _xlfn.LAMBDA(_xlpm.x, TRIM(SUBSTITUTE(_xlpm.x,CHAR(160)," "))),
    _xlpm.t, CLEAN($D163),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GROTON, TOWN OF</v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 spans="2:13" x14ac:dyDescent="0.35">
      <c r="B164" s="3" t="str" cm="1">
        <f t="array" ref="B164">IF(SUM(COUNTIF($H164:$N164,{"*TOWN OF*","*CITY OF*"}))&gt;0,"✓","")</f>
        <v>✓</v>
      </c>
      <c r="C164" s="3" t="str">
        <f t="shared" si="2"/>
        <v/>
      </c>
      <c r="D164" t="s">
        <v>111</v>
      </c>
      <c r="E164" t="s">
        <v>6</v>
      </c>
      <c r="F164" s="3" t="s">
        <v>312</v>
      </c>
      <c r="G164" s="3">
        <v>8</v>
      </c>
      <c r="H164" t="str" cm="1">
        <f t="array" ref="H164:M164">IFERROR(
  _xlfn.LET(
    _xlpm.clean, _xlfn.LAMBDA(_xlpm.x, TRIM(SUBSTITUTE(_xlpm.x,CHAR(160)," "))),
    _xlpm.t, CLEAN($D164),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HARVARD, TOWN OF - 4/29/2026</v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 spans="2:13" x14ac:dyDescent="0.35">
      <c r="B165" s="3" t="str" cm="1">
        <f t="array" ref="B165">IF(SUM(COUNTIF($H165:$N165,{"*TOWN OF*","*CITY OF*"}))&gt;0,"✓","")</f>
        <v>✓</v>
      </c>
      <c r="C165" s="3" t="str">
        <f t="shared" si="2"/>
        <v/>
      </c>
      <c r="D165" t="s">
        <v>112</v>
      </c>
      <c r="E165" t="s">
        <v>6</v>
      </c>
      <c r="F165" s="3" t="s">
        <v>360</v>
      </c>
      <c r="G165" s="3">
        <v>8</v>
      </c>
      <c r="H165" t="str" cm="1">
        <f t="array" ref="H165:M165">IFERROR(
  _xlfn.LET(
    _xlpm.clean, _xlfn.LAMBDA(_xlpm.x, TRIM(SUBSTITUTE(_xlpm.x,CHAR(160)," "))),
    _xlpm.t, CLEAN($D165),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HOPKINTON, TOWN OF - 5/21/2026</v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 spans="2:13" x14ac:dyDescent="0.35">
      <c r="B166" s="3" t="str" cm="1">
        <f t="array" ref="B166">IF(SUM(COUNTIF($H166:$N166,{"*TOWN OF*","*CITY OF*"}))&gt;0,"✓","")</f>
        <v>✓</v>
      </c>
      <c r="C166" s="3" t="str">
        <f t="shared" si="2"/>
        <v/>
      </c>
      <c r="D166" t="s">
        <v>114</v>
      </c>
      <c r="E166" t="s">
        <v>6</v>
      </c>
      <c r="F166" s="3" t="s">
        <v>360</v>
      </c>
      <c r="G166" s="3">
        <v>8</v>
      </c>
      <c r="H166" t="str" cm="1">
        <f t="array" ref="H166:M166">IFERROR(
  _xlfn.LET(
    _xlpm.clean, _xlfn.LAMBDA(_xlpm.x, TRIM(SUBSTITUTE(_xlpm.x,CHAR(160)," "))),
    _xlpm.t, CLEAN($D166),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HUDSON, TOWN OF - 6/30/2026</v>
      </c>
      <c r="I166" t="str">
        <v>HUDSON LIGHT DEPT</v>
      </c>
      <c r="J166" t="str">
        <v/>
      </c>
      <c r="K166" t="str">
        <v/>
      </c>
      <c r="L166" t="str">
        <v/>
      </c>
      <c r="M166" t="str">
        <v/>
      </c>
    </row>
    <row r="167" spans="2:13" x14ac:dyDescent="0.35">
      <c r="B167" s="3" t="str" cm="1">
        <f t="array" ref="B167">IF(SUM(COUNTIF($H167:$N167,{"*TOWN OF*","*CITY OF*"}))&gt;0,"✓","")</f>
        <v>✓</v>
      </c>
      <c r="C167" s="3" t="str">
        <f t="shared" si="2"/>
        <v/>
      </c>
      <c r="D167" t="s">
        <v>115</v>
      </c>
      <c r="E167" t="s">
        <v>6</v>
      </c>
      <c r="F167" s="3" t="s">
        <v>312</v>
      </c>
      <c r="G167" s="3">
        <v>8</v>
      </c>
      <c r="H167" t="str" cm="1">
        <f t="array" ref="H167:M167">IFERROR(
  _xlfn.LET(
    _xlpm.clean, _xlfn.LAMBDA(_xlpm.x, TRIM(SUBSTITUTE(_xlpm.x,CHAR(160)," "))),
    _xlpm.t, CLEAN($D167),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LANCASTER, TOWN OF - 3/18/2026</v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 spans="2:13" x14ac:dyDescent="0.35">
      <c r="B168" s="3" t="str" cm="1">
        <f t="array" ref="B168">IF(SUM(COUNTIF($H168:$N168,{"*TOWN OF*","*CITY OF*"}))&gt;0,"✓","")</f>
        <v>✓</v>
      </c>
      <c r="C168" s="3" t="str">
        <f t="shared" si="2"/>
        <v/>
      </c>
      <c r="D168" t="s">
        <v>117</v>
      </c>
      <c r="E168" t="s">
        <v>6</v>
      </c>
      <c r="F168" s="3" t="s">
        <v>360</v>
      </c>
      <c r="G168" s="3">
        <v>8</v>
      </c>
      <c r="H168" t="str" cm="1">
        <f t="array" ref="H168:M168">IFERROR(
  _xlfn.LET(
    _xlpm.clean, _xlfn.LAMBDA(_xlpm.x, TRIM(SUBSTITUTE(_xlpm.x,CHAR(160)," "))),
    _xlpm.t, CLEAN($D168),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LITTLETON, TOWN OF - 4/29/2026</v>
      </c>
      <c r="I168" t="str">
        <v>LITTLETON SCHOLARSHIP TRUST</v>
      </c>
      <c r="J168" t="str">
        <v/>
      </c>
      <c r="K168" t="str">
        <v/>
      </c>
      <c r="L168" t="str">
        <v/>
      </c>
      <c r="M168" t="str">
        <v/>
      </c>
    </row>
    <row r="169" spans="2:13" x14ac:dyDescent="0.35">
      <c r="B169" s="3" t="str" cm="1">
        <f t="array" ref="B169">IF(SUM(COUNTIF($H169:$N169,{"*TOWN OF*","*CITY OF*"}))&gt;0,"✓","")</f>
        <v>✓</v>
      </c>
      <c r="C169" s="3" t="str">
        <f t="shared" si="2"/>
        <v/>
      </c>
      <c r="D169" t="s">
        <v>119</v>
      </c>
      <c r="E169" t="s">
        <v>5</v>
      </c>
      <c r="F169" s="3" t="s">
        <v>360</v>
      </c>
      <c r="G169" s="3">
        <v>8</v>
      </c>
      <c r="H169" t="str" cm="1">
        <f t="array" ref="H169:M169">IFERROR(
  _xlfn.LET(
    _xlpm.clean, _xlfn.LAMBDA(_xlpm.x, TRIM(SUBSTITUTE(_xlpm.x,CHAR(160)," "))),
    _xlpm.t, CLEAN($D169),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MARLBOROUGH, CITY OF - 6/25/2026</v>
      </c>
      <c r="I169" t="str">
        <v>MARLBOROUGH OPEB</v>
      </c>
      <c r="J169" t="str">
        <v>ASSABET VALLEY RVSD</v>
      </c>
      <c r="K169" t="str">
        <v/>
      </c>
      <c r="L169" t="str">
        <v/>
      </c>
      <c r="M169" t="str">
        <v/>
      </c>
    </row>
    <row r="170" spans="2:13" x14ac:dyDescent="0.35">
      <c r="B170" s="3" t="str" cm="1">
        <f t="array" ref="B170">IF(SUM(COUNTIF($H170:$N170,{"*TOWN OF*","*CITY OF*"}))&gt;0,"✓","")</f>
        <v>✓</v>
      </c>
      <c r="C170" s="3" t="str">
        <f t="shared" si="2"/>
        <v/>
      </c>
      <c r="D170" t="s">
        <v>120</v>
      </c>
      <c r="E170" t="s">
        <v>6</v>
      </c>
      <c r="F170" s="3" t="s">
        <v>360</v>
      </c>
      <c r="G170" s="3">
        <v>8</v>
      </c>
      <c r="H170" t="str" cm="1">
        <f t="array" ref="H170:M170">IFERROR(
  _xlfn.LET(
    _xlpm.clean, _xlfn.LAMBDA(_xlpm.x, TRIM(SUBSTITUTE(_xlpm.x,CHAR(160)," "))),
    _xlpm.t, CLEAN($D170),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MAYNARD, TOWN OF - 3/23/2026</v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 spans="2:13" x14ac:dyDescent="0.35">
      <c r="B171" s="3" t="str" cm="1">
        <f t="array" ref="B171">IF(SUM(COUNTIF($H171:$N171,{"*TOWN OF*","*CITY OF*"}))&gt;0,"✓","")</f>
        <v>✓</v>
      </c>
      <c r="C171" s="3" t="str">
        <f t="shared" si="2"/>
        <v/>
      </c>
      <c r="D171" t="s">
        <v>123</v>
      </c>
      <c r="E171" t="s">
        <v>6</v>
      </c>
      <c r="F171" s="3" t="s">
        <v>312</v>
      </c>
      <c r="G171" s="3">
        <v>8</v>
      </c>
      <c r="H171" t="str" cm="1">
        <f t="array" ref="H171:M171">IFERROR(
  _xlfn.LET(
    _xlpm.clean, _xlfn.LAMBDA(_xlpm.x, TRIM(SUBSTITUTE(_xlpm.x,CHAR(160)," "))),
    _xlpm.t, CLEAN($D171),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NORTHBOROUGH, TOWN OF - 3/25/2026</v>
      </c>
      <c r="I171" t="str">
        <v>MASSACHUSETTS ASSOCIATION OF ASSESSING OFFICERS</v>
      </c>
      <c r="J171" t="str">
        <v/>
      </c>
      <c r="K171" t="str">
        <v/>
      </c>
      <c r="L171" t="str">
        <v/>
      </c>
      <c r="M171" t="str">
        <v/>
      </c>
    </row>
    <row r="172" spans="2:13" x14ac:dyDescent="0.35">
      <c r="B172" s="3" t="str" cm="1">
        <f t="array" ref="B172">IF(SUM(COUNTIF($H172:$N172,{"*TOWN OF*","*CITY OF*"}))&gt;0,"✓","")</f>
        <v>✓</v>
      </c>
      <c r="C172" s="3" t="str">
        <f t="shared" si="2"/>
        <v/>
      </c>
      <c r="D172" t="s">
        <v>131</v>
      </c>
      <c r="E172" t="s">
        <v>6</v>
      </c>
      <c r="F172" s="3" t="s">
        <v>312</v>
      </c>
      <c r="G172" s="3">
        <v>8</v>
      </c>
      <c r="H172" t="str" cm="1">
        <f t="array" ref="H172:M172">IFERROR(
  _xlfn.LET(
    _xlpm.clean, _xlfn.LAMBDA(_xlpm.x, TRIM(SUBSTITUTE(_xlpm.x,CHAR(160)," "))),
    _xlpm.t, CLEAN($D172),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SOUTHBOROUGH, TOWN OF - 3/25/2026</v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 spans="2:13" x14ac:dyDescent="0.35">
      <c r="B173" s="3" t="str" cm="1">
        <f t="array" ref="B173">IF(SUM(COUNTIF($H173:$N173,{"*TOWN OF*","*CITY OF*"}))&gt;0,"✓","")</f>
        <v>✓</v>
      </c>
      <c r="C173" s="3" t="str">
        <f t="shared" si="2"/>
        <v/>
      </c>
      <c r="D173" t="s">
        <v>132</v>
      </c>
      <c r="E173" t="s">
        <v>6</v>
      </c>
      <c r="F173" s="3" t="s">
        <v>312</v>
      </c>
      <c r="G173" s="3">
        <v>8</v>
      </c>
      <c r="H173" t="str" cm="1">
        <f t="array" ref="H173:M173">IFERROR(
  _xlfn.LET(
    _xlpm.clean, _xlfn.LAMBDA(_xlpm.x, TRIM(SUBSTITUTE(_xlpm.x,CHAR(160)," "))),
    _xlpm.t, CLEAN($D173),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STERLING, TOWN OF - 3/18/2026</v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 spans="2:13" x14ac:dyDescent="0.35">
      <c r="B174" s="3" t="str" cm="1">
        <f t="array" ref="B174">IF(SUM(COUNTIF($H174:$N174,{"*TOWN OF*","*CITY OF*"}))&gt;0,"✓","")</f>
        <v>✓</v>
      </c>
      <c r="C174" s="3" t="str">
        <f t="shared" si="2"/>
        <v/>
      </c>
      <c r="D174" t="s">
        <v>133</v>
      </c>
      <c r="E174" t="s">
        <v>6</v>
      </c>
      <c r="F174" s="3" t="s">
        <v>360</v>
      </c>
      <c r="G174" s="3">
        <v>8</v>
      </c>
      <c r="H174" t="str" cm="1">
        <f t="array" ref="H174:M174">IFERROR(
  _xlfn.LET(
    _xlpm.clean, _xlfn.LAMBDA(_xlpm.x, TRIM(SUBSTITUTE(_xlpm.x,CHAR(160)," "))),
    _xlpm.t, CLEAN($D174),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STOW, TOWN OF RANDALL MEMORIAL LIBRARY</v>
      </c>
      <c r="I174" t="str">
        <v>STOW, TOWN OF HALE HIGH SCHOOL - 5/21/2026</v>
      </c>
      <c r="J174" t="str">
        <v>STOW, TOWN OF - 3/23/2026</v>
      </c>
      <c r="K174" t="str">
        <v/>
      </c>
      <c r="L174" t="str">
        <v/>
      </c>
      <c r="M174" t="str">
        <v/>
      </c>
    </row>
    <row r="175" spans="2:13" x14ac:dyDescent="0.35">
      <c r="B175" s="3" t="str" cm="1">
        <f t="array" ref="B175">IF(SUM(COUNTIF($H175:$N175,{"*TOWN OF*","*CITY OF*"}))&gt;0,"✓","")</f>
        <v>✓</v>
      </c>
      <c r="C175" s="3" t="str">
        <f t="shared" si="2"/>
        <v/>
      </c>
      <c r="D175" t="s">
        <v>136</v>
      </c>
      <c r="E175" t="s">
        <v>6</v>
      </c>
      <c r="F175" s="3" t="s">
        <v>312</v>
      </c>
      <c r="G175" s="3">
        <v>8</v>
      </c>
      <c r="H175" t="str" cm="1">
        <f t="array" ref="H175:M175">IFERROR(
  _xlfn.LET(
    _xlpm.clean, _xlfn.LAMBDA(_xlpm.x, TRIM(SUBSTITUTE(_xlpm.x,CHAR(160)," "))),
    _xlpm.t, CLEAN($D175),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 BOYLSTON, TOWN OF - 3/23/2026</v>
      </c>
      <c r="I175" t="str">
        <v>WEST BOYLSTON WATER DISTRICT - 7/1/2026</v>
      </c>
      <c r="J175" t="str">
        <v>FIRST CONGREGATIONAL CHURCH OF W BOYLSTON - 3/23/2026</v>
      </c>
      <c r="K175" t="str">
        <v/>
      </c>
      <c r="L175" t="str">
        <v/>
      </c>
      <c r="M175" t="str">
        <v/>
      </c>
    </row>
    <row r="176" spans="2:13" x14ac:dyDescent="0.35">
      <c r="B176" s="3" t="str" cm="1">
        <f t="array" ref="B176">IF(SUM(COUNTIF($H176:$N176,{"*TOWN OF*","*CITY OF*"}))&gt;0,"✓","")</f>
        <v/>
      </c>
      <c r="C176" s="3" t="str">
        <f t="shared" si="2"/>
        <v>✓</v>
      </c>
      <c r="D176" t="s">
        <v>137</v>
      </c>
      <c r="E176" t="s">
        <v>6</v>
      </c>
      <c r="F176" s="3" t="s">
        <v>312</v>
      </c>
      <c r="G176" s="3">
        <v>8</v>
      </c>
      <c r="H176" t="str" cm="1">
        <f t="array" ref="H176:M176">IFERROR(
  _xlfn.LET(
    _xlpm.clean, _xlfn.LAMBDA(_xlpm.x, TRIM(SUBSTITUTE(_xlpm.x,CHAR(160)," "))),
    _xlpm.t, CLEAN($D176),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 spans="2:13" x14ac:dyDescent="0.35">
      <c r="B177" s="3" t="str" cm="1">
        <f t="array" ref="B177">IF(SUM(COUNTIF($H177:$N177,{"*TOWN OF*","*CITY OF*"}))&gt;0,"✓","")</f>
        <v>✓</v>
      </c>
      <c r="C177" s="3" t="str">
        <f t="shared" si="2"/>
        <v/>
      </c>
      <c r="D177" t="s">
        <v>105</v>
      </c>
      <c r="E177" t="s">
        <v>6</v>
      </c>
      <c r="F177" s="3" t="s">
        <v>312</v>
      </c>
      <c r="G177" s="3">
        <v>8</v>
      </c>
      <c r="H177" t="str" cm="1">
        <f t="array" ref="H177:M177">IFERROR(
  _xlfn.LET(
    _xlpm.clean, _xlfn.LAMBDA(_xlpm.x, TRIM(SUBSTITUTE(_xlpm.x,CHAR(160)," "))),
    _xlpm.t, CLEAN($D177),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BOYLSTON, TOWN OF - 3/16/2026</v>
      </c>
      <c r="I177" t="str">
        <v>BOYLSTON WATER DISTRICT - 7/1/2026</v>
      </c>
      <c r="J177" t="str">
        <v/>
      </c>
      <c r="K177" t="str">
        <v/>
      </c>
      <c r="L177" t="str">
        <v/>
      </c>
      <c r="M177" t="str">
        <v/>
      </c>
    </row>
    <row r="178" spans="2:13" x14ac:dyDescent="0.35">
      <c r="B178" s="3" t="str" cm="1">
        <f t="array" ref="B178">IF(SUM(COUNTIF($H178:$N178,{"*TOWN OF*","*CITY OF*"}))&gt;0,"✓","")</f>
        <v>✓</v>
      </c>
      <c r="C178" s="3" t="str">
        <f t="shared" si="2"/>
        <v/>
      </c>
      <c r="D178" t="s">
        <v>184</v>
      </c>
      <c r="E178" t="s">
        <v>5</v>
      </c>
      <c r="F178" s="3" t="s">
        <v>194</v>
      </c>
      <c r="G178" s="3">
        <v>9</v>
      </c>
      <c r="H178" t="str" cm="1">
        <f t="array" ref="H178:M178">IFERROR(
  _xlfn.LET(
    _xlpm.clean, _xlfn.LAMBDA(_xlpm.x, TRIM(SUBSTITUTE(_xlpm.x,CHAR(160)," "))),
    _xlpm.t, CLEAN($D178),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AMESBURY, CITY OF - 4/16/2026</v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 spans="2:13" x14ac:dyDescent="0.35">
      <c r="B179" s="3" t="str" cm="1">
        <f t="array" ref="B179">IF(SUM(COUNTIF($H179:$N179,{"*TOWN OF*","*CITY OF*"}))&gt;0,"✓","")</f>
        <v>✓</v>
      </c>
      <c r="C179" s="3" t="str">
        <f t="shared" si="2"/>
        <v/>
      </c>
      <c r="D179" t="s">
        <v>185</v>
      </c>
      <c r="E179" t="s">
        <v>6</v>
      </c>
      <c r="F179" s="3" t="s">
        <v>194</v>
      </c>
      <c r="G179" s="3">
        <v>9</v>
      </c>
      <c r="H179" t="str" cm="1">
        <f t="array" ref="H179:M179">IFERROR(
  _xlfn.LET(
    _xlpm.clean, _xlfn.LAMBDA(_xlpm.x, TRIM(SUBSTITUTE(_xlpm.x,CHAR(160)," "))),
    _xlpm.t, CLEAN($D179),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GREATER LAWRENCE RVTSD</v>
      </c>
      <c r="I179" t="str">
        <v>CREST COLLABORATIVE</v>
      </c>
      <c r="J179" t="str">
        <v>ANDOVER, TOWN OF - 3/19/2026</v>
      </c>
      <c r="K179" t="str">
        <v/>
      </c>
      <c r="L179" t="str">
        <v/>
      </c>
      <c r="M179" t="str">
        <v/>
      </c>
    </row>
    <row r="180" spans="2:13" x14ac:dyDescent="0.35">
      <c r="B180" s="3" t="str" cm="1">
        <f t="array" ref="B180">IF(SUM(COUNTIF($H180:$N180,{"*TOWN OF*","*CITY OF*"}))&gt;0,"✓","")</f>
        <v>✓</v>
      </c>
      <c r="C180" s="3" t="str">
        <f t="shared" si="2"/>
        <v/>
      </c>
      <c r="D180" t="s">
        <v>187</v>
      </c>
      <c r="E180" t="s">
        <v>6</v>
      </c>
      <c r="F180" s="3" t="s">
        <v>360</v>
      </c>
      <c r="G180" s="3">
        <v>9</v>
      </c>
      <c r="H180" t="str" cm="1">
        <f t="array" ref="H180:M180">IFERROR(
  _xlfn.LET(
    _xlpm.clean, _xlfn.LAMBDA(_xlpm.x, TRIM(SUBSTITUTE(_xlpm.x,CHAR(160)," "))),
    _xlpm.t, CLEAN($D180),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BILLERICA, TOWN OF - 5/4/2026</v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 spans="2:13" x14ac:dyDescent="0.35">
      <c r="B181" s="3" t="str" cm="1">
        <f t="array" ref="B181">IF(SUM(COUNTIF($H181:$N181,{"*TOWN OF*","*CITY OF*"}))&gt;0,"✓","")</f>
        <v>✓</v>
      </c>
      <c r="C181" s="3" t="str">
        <f t="shared" si="2"/>
        <v/>
      </c>
      <c r="D181" t="s">
        <v>188</v>
      </c>
      <c r="E181" t="s">
        <v>6</v>
      </c>
      <c r="F181" s="3" t="s">
        <v>194</v>
      </c>
      <c r="G181" s="3">
        <v>9</v>
      </c>
      <c r="H181" t="str" cm="1">
        <f t="array" ref="H181:M181">IFERROR(
  _xlfn.LET(
    _xlpm.clean, _xlfn.LAMBDA(_xlpm.x, TRIM(SUBSTITUTE(_xlpm.x,CHAR(160)," "))),
    _xlpm.t, CLEAN($D181),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BOXFORD, TOWN OF - 5/18/2026</v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 spans="2:13" x14ac:dyDescent="0.35">
      <c r="B182" s="3" t="str" cm="1">
        <f t="array" ref="B182">IF(SUM(COUNTIF($H182:$N182,{"*TOWN OF*","*CITY OF*"}))&gt;0,"✓","")</f>
        <v>✓</v>
      </c>
      <c r="C182" s="3" t="str">
        <f t="shared" si="2"/>
        <v/>
      </c>
      <c r="D182" t="s">
        <v>189</v>
      </c>
      <c r="E182" t="s">
        <v>6</v>
      </c>
      <c r="F182" s="3" t="s">
        <v>360</v>
      </c>
      <c r="G182" s="3">
        <v>9</v>
      </c>
      <c r="H182" t="str" cm="1">
        <f t="array" ref="H182:M182">IFERROR(
  _xlfn.LET(
    _xlpm.clean, _xlfn.LAMBDA(_xlpm.x, TRIM(SUBSTITUTE(_xlpm.x,CHAR(160)," "))),
    _xlpm.t, CLEAN($D182),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CARLISLE, TOWN OF - 6/8/2026</v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 spans="2:13" x14ac:dyDescent="0.35">
      <c r="B183" s="3" t="str" cm="1">
        <f t="array" ref="B183">IF(SUM(COUNTIF($H183:$N183,{"*TOWN OF*","*CITY OF*"}))&gt;0,"✓","")</f>
        <v>✓</v>
      </c>
      <c r="C183" s="3" t="str">
        <f t="shared" si="2"/>
        <v/>
      </c>
      <c r="D183" t="s">
        <v>190</v>
      </c>
      <c r="E183" t="s">
        <v>6</v>
      </c>
      <c r="F183" s="3" t="s">
        <v>360</v>
      </c>
      <c r="G183" s="3">
        <v>9</v>
      </c>
      <c r="H183" t="str" cm="1">
        <f t="array" ref="H183:M183">IFERROR(
  _xlfn.LET(
    _xlpm.clean, _xlfn.LAMBDA(_xlpm.x, TRIM(SUBSTITUTE(_xlpm.x,CHAR(160)," "))),
    _xlpm.t, CLEAN($D183),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CHELMSFORD WATER DISTRICT - 5/4/2026</v>
      </c>
      <c r="I183" t="str">
        <v>CHELMSFORD, TOWN OF - 5/4/2026</v>
      </c>
      <c r="J183" t="str">
        <v/>
      </c>
      <c r="K183" t="str">
        <v/>
      </c>
      <c r="L183" t="str">
        <v/>
      </c>
      <c r="M183" t="str">
        <v/>
      </c>
    </row>
    <row r="184" spans="2:13" x14ac:dyDescent="0.35">
      <c r="B184" s="3" t="str" cm="1">
        <f t="array" ref="B184">IF(SUM(COUNTIF($H184:$N184,{"*TOWN OF*","*CITY OF*"}))&gt;0,"✓","")</f>
        <v>✓</v>
      </c>
      <c r="C184" s="3" t="str">
        <f t="shared" si="2"/>
        <v/>
      </c>
      <c r="D184" t="s">
        <v>192</v>
      </c>
      <c r="E184" t="s">
        <v>6</v>
      </c>
      <c r="F184" s="3" t="s">
        <v>360</v>
      </c>
      <c r="G184" s="3">
        <v>9</v>
      </c>
      <c r="H184" t="str" cm="1">
        <f t="array" ref="H184:M184">IFERROR(
  _xlfn.LET(
    _xlpm.clean, _xlfn.LAMBDA(_xlpm.x, TRIM(SUBSTITUTE(_xlpm.x,CHAR(160)," "))),
    _xlpm.t, CLEAN($D184),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DRACUT, TOWN OF - 5/20/2026</v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 spans="2:13" x14ac:dyDescent="0.35">
      <c r="B185" s="3" t="str" cm="1">
        <f t="array" ref="B185">IF(SUM(COUNTIF($H185:$N185,{"*TOWN OF*","*CITY OF*"}))&gt;0,"✓","")</f>
        <v>✓</v>
      </c>
      <c r="C185" s="3" t="str">
        <f t="shared" si="2"/>
        <v/>
      </c>
      <c r="D185" t="s">
        <v>193</v>
      </c>
      <c r="E185" t="s">
        <v>6</v>
      </c>
      <c r="F185" s="3" t="s">
        <v>360</v>
      </c>
      <c r="G185" s="3">
        <v>9</v>
      </c>
      <c r="H185" t="str" cm="1">
        <f t="array" ref="H185:M185">IFERROR(
  _xlfn.LET(
    _xlpm.clean, _xlfn.LAMBDA(_xlpm.x, TRIM(SUBSTITUTE(_xlpm.x,CHAR(160)," "))),
    _xlpm.t, CLEAN($D185),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DUNSTABLE, TOWN OF - 6/1/2026</v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 spans="2:13" x14ac:dyDescent="0.35">
      <c r="B186" s="3" t="str" cm="1">
        <f t="array" ref="B186">IF(SUM(COUNTIF($H186:$N186,{"*TOWN OF*","*CITY OF*"}))&gt;0,"✓","")</f>
        <v>✓</v>
      </c>
      <c r="C186" s="3" t="str">
        <f t="shared" si="2"/>
        <v/>
      </c>
      <c r="D186" t="s">
        <v>195</v>
      </c>
      <c r="E186" t="s">
        <v>6</v>
      </c>
      <c r="F186" s="3" t="s">
        <v>194</v>
      </c>
      <c r="G186" s="3">
        <v>9</v>
      </c>
      <c r="H186" t="str" cm="1">
        <f t="array" ref="H186:M186">IFERROR(
  _xlfn.LET(
    _xlpm.clean, _xlfn.LAMBDA(_xlpm.x, TRIM(SUBSTITUTE(_xlpm.x,CHAR(160)," "))),
    _xlpm.t, CLEAN($D186),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GEORGETOWN, TOWN OF</v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 spans="2:13" x14ac:dyDescent="0.35">
      <c r="B187" s="3" t="str" cm="1">
        <f t="array" ref="B187">IF(SUM(COUNTIF($H187:$N187,{"*TOWN OF*","*CITY OF*"}))&gt;0,"✓","")</f>
        <v>✓</v>
      </c>
      <c r="C187" s="3" t="str">
        <f t="shared" si="2"/>
        <v/>
      </c>
      <c r="D187" t="s">
        <v>197</v>
      </c>
      <c r="E187" t="s">
        <v>6</v>
      </c>
      <c r="F187" s="3" t="s">
        <v>194</v>
      </c>
      <c r="G187" s="3">
        <v>9</v>
      </c>
      <c r="H187" t="str" cm="1">
        <f t="array" ref="H187:M187">IFERROR(
  _xlfn.LET(
    _xlpm.clean, _xlfn.LAMBDA(_xlpm.x, TRIM(SUBSTITUTE(_xlpm.x,CHAR(160)," "))),
    _xlpm.t, CLEAN($D187),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LANGLEY-ADAMS PUBLIC LIBRARY - 5/12/2026</v>
      </c>
      <c r="I187" t="str">
        <v>GROVELAND, TOWN OF - 6/10/2026</v>
      </c>
      <c r="J187" t="str">
        <v/>
      </c>
      <c r="K187" t="str">
        <v/>
      </c>
      <c r="L187" t="str">
        <v/>
      </c>
      <c r="M187" t="str">
        <v/>
      </c>
    </row>
    <row r="188" spans="2:13" x14ac:dyDescent="0.35">
      <c r="B188" s="3" t="str" cm="1">
        <f t="array" ref="B188">IF(SUM(COUNTIF($H188:$N188,{"*TOWN OF*","*CITY OF*"}))&gt;0,"✓","")</f>
        <v>✓</v>
      </c>
      <c r="C188" s="3" t="str">
        <f t="shared" si="2"/>
        <v/>
      </c>
      <c r="D188" t="s">
        <v>199</v>
      </c>
      <c r="E188" t="s">
        <v>5</v>
      </c>
      <c r="F188" s="3" t="s">
        <v>194</v>
      </c>
      <c r="G188" s="3">
        <v>9</v>
      </c>
      <c r="H188" t="str" cm="1">
        <f t="array" ref="H188:M188">IFERROR(
  _xlfn.LET(
    _xlpm.clean, _xlfn.LAMBDA(_xlpm.x, TRIM(SUBSTITUTE(_xlpm.x,CHAR(160)," "))),
    _xlpm.t, CLEAN($D188),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WHITTIER TECHNICAL EDUCATION FOUNDATION</v>
      </c>
      <c r="I188" t="str">
        <v>WHITTIER RVTHS</v>
      </c>
      <c r="J188" t="str">
        <v>HAVERHILL, CITY OF - 5/18/2026</v>
      </c>
      <c r="K188" t="str">
        <v/>
      </c>
      <c r="L188" t="str">
        <v/>
      </c>
      <c r="M188" t="str">
        <v/>
      </c>
    </row>
    <row r="189" spans="2:13" x14ac:dyDescent="0.35">
      <c r="B189" s="3" t="str" cm="1">
        <f t="array" ref="B189">IF(SUM(COUNTIF($H189:$N189,{"*TOWN OF*","*CITY OF*"}))&gt;0,"✓","")</f>
        <v/>
      </c>
      <c r="C189" s="3" t="str">
        <f t="shared" si="2"/>
        <v>✓</v>
      </c>
      <c r="D189" t="s">
        <v>201</v>
      </c>
      <c r="E189" t="s">
        <v>5</v>
      </c>
      <c r="F189" s="3" t="s">
        <v>194</v>
      </c>
      <c r="G189" s="3">
        <v>9</v>
      </c>
      <c r="H189" t="str" cm="1">
        <f t="array" ref="H189:M189">IFERROR(
  _xlfn.LET(
    _xlpm.clean, _xlfn.LAMBDA(_xlpm.x, TRIM(SUBSTITUTE(_xlpm.x,CHAR(160)," "))),
    _xlpm.t, CLEAN($D189),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 spans="2:13" x14ac:dyDescent="0.35">
      <c r="B190" s="3" t="str" cm="1">
        <f t="array" ref="B190">IF(SUM(COUNTIF($H190:$N190,{"*TOWN OF*","*CITY OF*"}))&gt;0,"✓","")</f>
        <v>✓</v>
      </c>
      <c r="C190" s="3" t="str">
        <f t="shared" si="2"/>
        <v/>
      </c>
      <c r="D190" t="s">
        <v>202</v>
      </c>
      <c r="E190" t="s">
        <v>5</v>
      </c>
      <c r="F190" s="3" t="s">
        <v>360</v>
      </c>
      <c r="G190" s="3">
        <v>9</v>
      </c>
      <c r="H190" t="str" cm="1">
        <f t="array" ref="H190:M190">IFERROR(
  _xlfn.LET(
    _xlpm.clean, _xlfn.LAMBDA(_xlpm.x, TRIM(SUBSTITUTE(_xlpm.x,CHAR(160)," "))),
    _xlpm.t, CLEAN($D190),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LOWELL, CITY OF</v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 spans="2:13" x14ac:dyDescent="0.35">
      <c r="B191" s="3" t="str" cm="1">
        <f t="array" ref="B191">IF(SUM(COUNTIF($H191:$N191,{"*TOWN OF*","*CITY OF*"}))&gt;0,"✓","")</f>
        <v>✓</v>
      </c>
      <c r="C191" s="3" t="str">
        <f t="shared" si="2"/>
        <v/>
      </c>
      <c r="D191" t="s">
        <v>206</v>
      </c>
      <c r="E191" t="s">
        <v>6</v>
      </c>
      <c r="F191" s="3" t="s">
        <v>194</v>
      </c>
      <c r="G191" s="3">
        <v>9</v>
      </c>
      <c r="H191" t="str" cm="1">
        <f t="array" ref="H191:M191">IFERROR(
  _xlfn.LET(
    _xlpm.clean, _xlfn.LAMBDA(_xlpm.x, TRIM(SUBSTITUTE(_xlpm.x,CHAR(160)," "))),
    _xlpm.t, CLEAN($D191),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MERRIMAC, TOWN OF - 4/16/2026</v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 spans="2:13" x14ac:dyDescent="0.35">
      <c r="B192" s="3" t="str" cm="1">
        <f t="array" ref="B192">IF(SUM(COUNTIF($H192:$N192,{"*TOWN OF*","*CITY OF*"}))&gt;0,"✓","")</f>
        <v>✓</v>
      </c>
      <c r="C192" s="3" t="str">
        <f t="shared" si="2"/>
        <v/>
      </c>
      <c r="D192" t="s">
        <v>207</v>
      </c>
      <c r="E192" t="s">
        <v>5</v>
      </c>
      <c r="F192" s="3" t="s">
        <v>194</v>
      </c>
      <c r="G192" s="3">
        <v>9</v>
      </c>
      <c r="H192" t="str" cm="1">
        <f t="array" ref="H192:M192">IFERROR(
  _xlfn.LET(
    _xlpm.clean, _xlfn.LAMBDA(_xlpm.x, TRIM(SUBSTITUTE(_xlpm.x,CHAR(160)," "))),
    _xlpm.t, CLEAN($D192),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METHUEN, CITY OF - 6/1/2026</v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 spans="2:14" x14ac:dyDescent="0.35">
      <c r="B193" s="3" t="str" cm="1">
        <f t="array" ref="B193">IF(SUM(COUNTIF($H193:$N193,{"*TOWN OF*","*CITY OF*"}))&gt;0,"✓","")</f>
        <v>✓</v>
      </c>
      <c r="C193" s="3" t="str">
        <f t="shared" si="2"/>
        <v/>
      </c>
      <c r="D193" s="6" t="s">
        <v>210</v>
      </c>
      <c r="E193" s="6" t="s">
        <v>6</v>
      </c>
      <c r="F193" s="5" t="s">
        <v>194</v>
      </c>
      <c r="G193" s="3">
        <v>9</v>
      </c>
      <c r="H193" t="str" cm="1">
        <f t="array" ref="H193:M193">IFERROR(
  _xlfn.LET(
    _xlpm.clean, _xlfn.LAMBDA(_xlpm.x, TRIM(SUBSTITUTE(_xlpm.x,CHAR(160)," "))),
    _xlpm.t, CLEAN($D193),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TRITON RSD</v>
      </c>
      <c r="I193" s="6" t="str">
        <v>NEWBURY, TOWN OF - 4/28/2026</v>
      </c>
      <c r="J193" s="6" t="str">
        <v/>
      </c>
      <c r="K193" s="6" t="str">
        <v/>
      </c>
      <c r="L193" s="6" t="str">
        <v/>
      </c>
      <c r="M193" s="6" t="str">
        <v/>
      </c>
      <c r="N193" s="6"/>
    </row>
    <row r="194" spans="2:14" x14ac:dyDescent="0.35">
      <c r="B194" s="3" t="str" cm="1">
        <f t="array" ref="B194">IF(SUM(COUNTIF($H194:$N194,{"*TOWN OF*","*CITY OF*"}))&gt;0,"✓","")</f>
        <v>✓</v>
      </c>
      <c r="C194" s="3" t="str">
        <f t="shared" si="2"/>
        <v/>
      </c>
      <c r="D194" t="s">
        <v>211</v>
      </c>
      <c r="E194" t="s">
        <v>5</v>
      </c>
      <c r="F194" s="3" t="s">
        <v>194</v>
      </c>
      <c r="G194" s="3">
        <v>9</v>
      </c>
      <c r="H194" t="str" cm="1">
        <f t="array" ref="H194:M194">IFERROR(
  _xlfn.LET(
    _xlpm.clean, _xlfn.LAMBDA(_xlpm.x, TRIM(SUBSTITUTE(_xlpm.x,CHAR(160)," "))),
    _xlpm.t, CLEAN($D194),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NEWBURYPORT, CITY OF - 5/5/2026</v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 spans="2:14" x14ac:dyDescent="0.35">
      <c r="B195" s="3" t="str" cm="1">
        <f t="array" ref="B195">IF(SUM(COUNTIF($H195:$N195,{"*TOWN OF*","*CITY OF*"}))&gt;0,"✓","")</f>
        <v>✓</v>
      </c>
      <c r="C195" s="3" t="str">
        <f t="shared" ref="C195:C258" si="3">IF(AND($B195="",COUNTA($H195:$N195)&gt;0),"✓","")</f>
        <v/>
      </c>
      <c r="D195" t="s">
        <v>212</v>
      </c>
      <c r="E195" t="s">
        <v>6</v>
      </c>
      <c r="F195" s="3" t="s">
        <v>194</v>
      </c>
      <c r="G195" s="3">
        <v>9</v>
      </c>
      <c r="H195" t="str" cm="1">
        <f t="array" ref="H195:M195">IFERROR(
  _xlfn.LET(
    _xlpm.clean, _xlfn.LAMBDA(_xlpm.x, TRIM(SUBSTITUTE(_xlpm.x,CHAR(160)," "))),
    _xlpm.t, CLEAN($D195),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ANDOVER, TOWN OF - 4/16/2026</v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 spans="2:14" x14ac:dyDescent="0.35">
      <c r="B196" s="3" t="str" cm="1">
        <f t="array" ref="B196">IF(SUM(COUNTIF($H196:$N196,{"*TOWN OF*","*CITY OF*"}))&gt;0,"✓","")</f>
        <v>✓</v>
      </c>
      <c r="C196" s="3" t="str">
        <f t="shared" si="3"/>
        <v/>
      </c>
      <c r="D196" t="s">
        <v>218</v>
      </c>
      <c r="E196" t="s">
        <v>6</v>
      </c>
      <c r="F196" s="3" t="s">
        <v>194</v>
      </c>
      <c r="G196" s="3">
        <v>9</v>
      </c>
      <c r="H196" t="str" cm="1">
        <f t="array" ref="H196:M196">IFERROR(
  _xlfn.LET(
    _xlpm.clean, _xlfn.LAMBDA(_xlpm.x, TRIM(SUBSTITUTE(_xlpm.x,CHAR(160)," "))),
    _xlpm.t, CLEAN($D196),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SALISBURY, TOWN OF - 4/16/2026</v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 spans="2:14" x14ac:dyDescent="0.35">
      <c r="B197" s="3" t="str" cm="1">
        <f t="array" ref="B197">IF(SUM(COUNTIF($H197:$N197,{"*TOWN OF*","*CITY OF*"}))&gt;0,"✓","")</f>
        <v/>
      </c>
      <c r="C197" s="3" t="str">
        <f t="shared" si="3"/>
        <v>✓</v>
      </c>
      <c r="D197" s="6" t="s">
        <v>221</v>
      </c>
      <c r="E197" s="6" t="s">
        <v>6</v>
      </c>
      <c r="F197" s="5" t="s">
        <v>360</v>
      </c>
      <c r="G197" s="3">
        <v>9</v>
      </c>
      <c r="H197" t="str" cm="1">
        <f t="array" ref="H197:M197">IFERROR(
  _xlfn.LET(
    _xlpm.clean, _xlfn.LAMBDA(_xlpm.x, TRIM(SUBSTITUTE(_xlpm.x,CHAR(160)," "))),
    _xlpm.t, CLEAN($D197),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97" s="6" t="str">
        <v/>
      </c>
      <c r="J197" s="6" t="str">
        <v/>
      </c>
      <c r="K197" s="6" t="str">
        <v/>
      </c>
      <c r="L197" s="6" t="str">
        <v/>
      </c>
      <c r="M197" s="6" t="str">
        <v/>
      </c>
      <c r="N197" s="6"/>
    </row>
    <row r="198" spans="2:14" x14ac:dyDescent="0.35">
      <c r="B198" s="3" t="str" cm="1">
        <f t="array" ref="B198">IF(SUM(COUNTIF($H198:$N198,{"*TOWN OF*","*CITY OF*"}))&gt;0,"✓","")</f>
        <v>✓</v>
      </c>
      <c r="C198" s="3" t="str">
        <f t="shared" si="3"/>
        <v/>
      </c>
      <c r="D198" t="s">
        <v>223</v>
      </c>
      <c r="E198" t="s">
        <v>6</v>
      </c>
      <c r="F198" s="3" t="s">
        <v>360</v>
      </c>
      <c r="G198" s="3">
        <v>9</v>
      </c>
      <c r="H198" t="str" cm="1">
        <f t="array" ref="H198:M198">IFERROR(
  _xlfn.LET(
    _xlpm.clean, _xlfn.LAMBDA(_xlpm.x, TRIM(SUBSTITUTE(_xlpm.x,CHAR(160)," "))),
    _xlpm.t, CLEAN($D198),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TYNGSBOROUGH, TOWN OF - 5/18/2026</v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 spans="2:14" x14ac:dyDescent="0.35">
      <c r="B199" s="3" t="str" cm="1">
        <f t="array" ref="B199">IF(SUM(COUNTIF($H199:$N199,{"*TOWN OF*","*CITY OF*"}))&gt;0,"✓","")</f>
        <v/>
      </c>
      <c r="C199" s="3" t="str">
        <f t="shared" si="3"/>
        <v>✓</v>
      </c>
      <c r="D199" t="s">
        <v>225</v>
      </c>
      <c r="E199" t="s">
        <v>6</v>
      </c>
      <c r="F199" s="3" t="s">
        <v>194</v>
      </c>
      <c r="G199" s="3">
        <v>9</v>
      </c>
      <c r="H199" t="str" cm="1">
        <f t="array" ref="H199:M199">IFERROR(
  _xlfn.LET(
    _xlpm.clean, _xlfn.LAMBDA(_xlpm.x, TRIM(SUBSTITUTE(_xlpm.x,CHAR(160)," "))),
    _xlpm.t, CLEAN($D199),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 spans="2:14" x14ac:dyDescent="0.35">
      <c r="B200" s="3" t="str" cm="1">
        <f t="array" ref="B200">IF(SUM(COUNTIF($H200:$N200,{"*TOWN OF*","*CITY OF*"}))&gt;0,"✓","")</f>
        <v>✓</v>
      </c>
      <c r="C200" s="3" t="str">
        <f t="shared" si="3"/>
        <v/>
      </c>
      <c r="D200" t="s">
        <v>226</v>
      </c>
      <c r="E200" t="s">
        <v>6</v>
      </c>
      <c r="F200" s="3" t="s">
        <v>360</v>
      </c>
      <c r="G200" s="3">
        <v>9</v>
      </c>
      <c r="H200" t="str" cm="1">
        <f t="array" ref="H200:M200">IFERROR(
  _xlfn.LET(
    _xlpm.clean, _xlfn.LAMBDA(_xlpm.x, TRIM(SUBSTITUTE(_xlpm.x,CHAR(160)," "))),
    _xlpm.t, CLEAN($D200),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WESTFORD, TOWN OF - 6/10/2026</v>
      </c>
      <c r="I200" t="str">
        <v>NASHOBA VALLEY THS</v>
      </c>
      <c r="J200" t="str">
        <v/>
      </c>
      <c r="K200" t="str">
        <v/>
      </c>
      <c r="L200" t="str">
        <v/>
      </c>
      <c r="M200" t="str">
        <v/>
      </c>
    </row>
    <row r="201" spans="2:14" x14ac:dyDescent="0.35">
      <c r="B201" s="3" t="str" cm="1">
        <f t="array" ref="B201">IF(SUM(COUNTIF($H201:$N201,{"*TOWN OF*","*CITY OF*"}))&gt;0,"✓","")</f>
        <v/>
      </c>
      <c r="C201" s="3" t="str">
        <f t="shared" si="3"/>
        <v>✓</v>
      </c>
      <c r="D201" t="s">
        <v>186</v>
      </c>
      <c r="E201" t="s">
        <v>5</v>
      </c>
      <c r="F201" s="3" t="s">
        <v>194</v>
      </c>
      <c r="G201" s="3">
        <v>10</v>
      </c>
      <c r="H201" t="str" cm="1">
        <f t="array" ref="H201:M201">IFERROR(
  _xlfn.LET(
    _xlpm.clean, _xlfn.LAMBDA(_xlpm.x, TRIM(SUBSTITUTE(_xlpm.x,CHAR(160)," "))),
    _xlpm.t, CLEAN($D201),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 spans="2:14" x14ac:dyDescent="0.35">
      <c r="B202" s="3" t="str" cm="1">
        <f t="array" ref="B202">IF(SUM(COUNTIF($H202:$N202,{"*TOWN OF*","*CITY OF*"}))&gt;0,"✓","")</f>
        <v>✓</v>
      </c>
      <c r="C202" s="3" t="str">
        <f t="shared" si="3"/>
        <v/>
      </c>
      <c r="D202" t="s">
        <v>191</v>
      </c>
      <c r="E202" t="s">
        <v>6</v>
      </c>
      <c r="F202" s="3" t="s">
        <v>194</v>
      </c>
      <c r="G202" s="3">
        <v>10</v>
      </c>
      <c r="H202" t="str" cm="1">
        <f t="array" ref="H202:M202">IFERROR(
  _xlfn.LET(
    _xlpm.clean, _xlfn.LAMBDA(_xlpm.x, TRIM(SUBSTITUTE(_xlpm.x,CHAR(160)," "))),
    _xlpm.t, CLEAN($D202),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DANVERS, TOWN OF - 4/13/2026</v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 spans="2:14" x14ac:dyDescent="0.35">
      <c r="B203" s="3" t="str" cm="1">
        <f t="array" ref="B203">IF(SUM(COUNTIF($H203:$N203,{"*TOWN OF*","*CITY OF*"}))&gt;0,"✓","")</f>
        <v>✓</v>
      </c>
      <c r="C203" s="3" t="str">
        <f t="shared" si="3"/>
        <v/>
      </c>
      <c r="D203" t="s">
        <v>194</v>
      </c>
      <c r="E203" t="s">
        <v>6</v>
      </c>
      <c r="F203" s="3" t="s">
        <v>194</v>
      </c>
      <c r="G203" s="3">
        <v>10</v>
      </c>
      <c r="H203" t="str" cm="1">
        <f t="array" ref="H203:M203">IFERROR(
  _xlfn.LET(
    _xlpm.clean, _xlfn.LAMBDA(_xlpm.x, TRIM(SUBSTITUTE(_xlpm.x,CHAR(160)," "))),
    _xlpm.t, CLEAN($D203),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ESSEX, TOWN OF - 4/14/2026</v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 spans="2:14" x14ac:dyDescent="0.35">
      <c r="B204" s="3" t="str" cm="1">
        <f t="array" ref="B204">IF(SUM(COUNTIF($H204:$N204,{"*TOWN OF*","*CITY OF*"}))&gt;0,"✓","")</f>
        <v>✓</v>
      </c>
      <c r="C204" s="3" t="str">
        <f t="shared" si="3"/>
        <v/>
      </c>
      <c r="D204" t="s">
        <v>196</v>
      </c>
      <c r="E204" t="s">
        <v>5</v>
      </c>
      <c r="F204" s="3" t="s">
        <v>194</v>
      </c>
      <c r="G204" s="3">
        <v>10</v>
      </c>
      <c r="H204" t="str" cm="1">
        <f t="array" ref="H204:M204">IFERROR(
  _xlfn.LET(
    _xlpm.clean, _xlfn.LAMBDA(_xlpm.x, TRIM(SUBSTITUTE(_xlpm.x,CHAR(160)," "))),
    _xlpm.t, CLEAN($D204),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GLOUCESTER, CITY OF - 4/14/2026</v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 spans="2:14" x14ac:dyDescent="0.35">
      <c r="B205" s="3" t="str" cm="1">
        <f t="array" ref="B205">IF(SUM(COUNTIF($H205:$N205,{"*TOWN OF*","*CITY OF*"}))&gt;0,"✓","")</f>
        <v>✓</v>
      </c>
      <c r="C205" s="3" t="str">
        <f t="shared" si="3"/>
        <v/>
      </c>
      <c r="D205" t="s">
        <v>198</v>
      </c>
      <c r="E205" t="s">
        <v>6</v>
      </c>
      <c r="F205" s="3" t="s">
        <v>194</v>
      </c>
      <c r="G205" s="3">
        <v>10</v>
      </c>
      <c r="H205" t="str" cm="1">
        <f t="array" ref="H205:M205">IFERROR(
  _xlfn.LET(
    _xlpm.clean, _xlfn.LAMBDA(_xlpm.x, TRIM(SUBSTITUTE(_xlpm.x,CHAR(160)," "))),
    _xlpm.t, CLEAN($D205),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HAMILTON, TOWN OF - 4/14/2026</v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 spans="2:14" s="6" customFormat="1" x14ac:dyDescent="0.35">
      <c r="B206" s="3" t="str" cm="1">
        <f t="array" ref="B206">IF(SUM(COUNTIF($H206:$N206,{"*TOWN OF*","*CITY OF*"}))&gt;0,"✓","")</f>
        <v>✓</v>
      </c>
      <c r="C206" s="3" t="str">
        <f t="shared" si="3"/>
        <v/>
      </c>
      <c r="D206" t="s">
        <v>200</v>
      </c>
      <c r="E206" t="s">
        <v>6</v>
      </c>
      <c r="F206" s="3" t="s">
        <v>194</v>
      </c>
      <c r="G206" s="3">
        <v>10</v>
      </c>
      <c r="H206" t="str" cm="1">
        <f t="array" ref="H206:M206">IFERROR(
  _xlfn.LET(
    _xlpm.clean, _xlfn.LAMBDA(_xlpm.x, TRIM(SUBSTITUTE(_xlpm.x,CHAR(160)," "))),
    _xlpm.t, CLEAN($D206),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IPSWICH, TOWN OF - 4/14/2026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/>
    </row>
    <row r="207" spans="2:14" x14ac:dyDescent="0.35">
      <c r="B207" s="3" t="str" cm="1">
        <f t="array" ref="B207">IF(SUM(COUNTIF($H207:$N207,{"*TOWN OF*","*CITY OF*"}))&gt;0,"✓","")</f>
        <v/>
      </c>
      <c r="C207" s="3" t="str">
        <f t="shared" si="3"/>
        <v>✓</v>
      </c>
      <c r="D207" t="s">
        <v>203</v>
      </c>
      <c r="E207" t="s">
        <v>5</v>
      </c>
      <c r="F207" s="3" t="s">
        <v>194</v>
      </c>
      <c r="G207" s="3">
        <v>10</v>
      </c>
      <c r="H207" t="str" cm="1">
        <f t="array" ref="H207:M207">IFERROR(
  _xlfn.LET(
    _xlpm.clean, _xlfn.LAMBDA(_xlpm.x, TRIM(SUBSTITUTE(_xlpm.x,CHAR(160)," "))),
    _xlpm.t, CLEAN($D207),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 spans="2:14" x14ac:dyDescent="0.35">
      <c r="B208" s="3" t="str" cm="1">
        <f t="array" ref="B208">IF(SUM(COUNTIF($H208:$N208,{"*TOWN OF*","*CITY OF*"}))&gt;0,"✓","")</f>
        <v>✓</v>
      </c>
      <c r="C208" s="3" t="str">
        <f t="shared" si="3"/>
        <v/>
      </c>
      <c r="D208" t="s">
        <v>204</v>
      </c>
      <c r="E208" t="s">
        <v>6</v>
      </c>
      <c r="F208" s="3" t="s">
        <v>194</v>
      </c>
      <c r="G208" s="3">
        <v>10</v>
      </c>
      <c r="H208" t="str" cm="1">
        <f t="array" ref="H208:M208">IFERROR(
  _xlfn.LET(
    _xlpm.clean, _xlfn.LAMBDA(_xlpm.x, TRIM(SUBSTITUTE(_xlpm.x,CHAR(160)," "))),
    _xlpm.t, CLEAN($D208),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LYNNFIELD, TOWN OF - 5/19/2026</v>
      </c>
      <c r="I208" t="str">
        <v>LYNNFIELD CENTER WATER DISTRICT</v>
      </c>
      <c r="J208" t="str">
        <v/>
      </c>
      <c r="K208" t="str">
        <v/>
      </c>
      <c r="L208" t="str">
        <v/>
      </c>
      <c r="M208" t="str">
        <v/>
      </c>
    </row>
    <row r="209" spans="2:14" x14ac:dyDescent="0.35">
      <c r="B209" s="3" t="str" cm="1">
        <f t="array" ref="B209">IF(SUM(COUNTIF($H209:$N209,{"*TOWN OF*","*CITY OF*"}))&gt;0,"✓","")</f>
        <v>✓</v>
      </c>
      <c r="C209" s="3" t="str">
        <f t="shared" si="3"/>
        <v/>
      </c>
      <c r="D209" t="s">
        <v>943</v>
      </c>
      <c r="E209" t="s">
        <v>6</v>
      </c>
      <c r="F209" s="3" t="s">
        <v>194</v>
      </c>
      <c r="G209" s="3">
        <v>10</v>
      </c>
      <c r="H209" t="str" cm="1">
        <f t="array" ref="H209:M209">IFERROR(
  _xlfn.LET(
    _xlpm.clean, _xlfn.LAMBDA(_xlpm.x, TRIM(SUBSTITUTE(_xlpm.x,CHAR(160)," "))),
    _xlpm.t, CLEAN($D209),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MANCHESTER-BY-THE-SEA, TOWN OF - 4/13/2026</v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 spans="2:14" x14ac:dyDescent="0.35">
      <c r="B210" s="3" t="str" cm="1">
        <f t="array" ref="B210">IF(SUM(COUNTIF($H210:$N210,{"*TOWN OF*","*CITY OF*"}))&gt;0,"✓","")</f>
        <v>✓</v>
      </c>
      <c r="C210" s="3" t="str">
        <f t="shared" si="3"/>
        <v/>
      </c>
      <c r="D210" t="s">
        <v>205</v>
      </c>
      <c r="E210" t="s">
        <v>6</v>
      </c>
      <c r="F210" s="3" t="s">
        <v>194</v>
      </c>
      <c r="G210" s="3">
        <v>10</v>
      </c>
      <c r="H210" t="str" cm="1">
        <f t="array" ref="H210:M210">IFERROR(
  _xlfn.LET(
    _xlpm.clean, _xlfn.LAMBDA(_xlpm.x, TRIM(SUBSTITUTE(_xlpm.x,CHAR(160)," "))),
    _xlpm.t, CLEAN($D210),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MARBLEHEAD, TOWN OF</v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 spans="2:14" x14ac:dyDescent="0.35">
      <c r="B211" s="3" t="str" cm="1">
        <f t="array" ref="B211">IF(SUM(COUNTIF($H211:$N211,{"*TOWN OF*","*CITY OF*"}))&gt;0,"✓","")</f>
        <v>✓</v>
      </c>
      <c r="C211" s="3" t="str">
        <f t="shared" si="3"/>
        <v/>
      </c>
      <c r="D211" t="s">
        <v>208</v>
      </c>
      <c r="E211" t="s">
        <v>6</v>
      </c>
      <c r="F211" s="3" t="s">
        <v>194</v>
      </c>
      <c r="G211" s="3">
        <v>10</v>
      </c>
      <c r="H211" t="str" cm="1">
        <f t="array" ref="H211:M211">IFERROR(
  _xlfn.LET(
    _xlpm.clean, _xlfn.LAMBDA(_xlpm.x, TRIM(SUBSTITUTE(_xlpm.x,CHAR(160)," "))),
    _xlpm.t, CLEAN($D211),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MIDDLETON, TOWN OF</v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 spans="2:14" x14ac:dyDescent="0.35">
      <c r="B212" s="3" t="str" cm="1">
        <f t="array" ref="B212">IF(SUM(COUNTIF($H212:$N212,{"*TOWN OF*","*CITY OF*"}))&gt;0,"✓","")</f>
        <v/>
      </c>
      <c r="C212" s="3" t="str">
        <f t="shared" si="3"/>
        <v>✓</v>
      </c>
      <c r="D212" t="s">
        <v>209</v>
      </c>
      <c r="E212" t="s">
        <v>6</v>
      </c>
      <c r="F212" s="3" t="s">
        <v>194</v>
      </c>
      <c r="G212" s="3">
        <v>10</v>
      </c>
      <c r="H212" t="str" cm="1">
        <f t="array" ref="H212:M212">IFERROR(
  _xlfn.LET(
    _xlpm.clean, _xlfn.LAMBDA(_xlpm.x, TRIM(SUBSTITUTE(_xlpm.x,CHAR(160)," "))),
    _xlpm.t, CLEAN($D212),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 spans="2:14" x14ac:dyDescent="0.35">
      <c r="B213" s="3" t="str" cm="1">
        <f t="array" ref="B213">IF(SUM(COUNTIF($H213:$N213,{"*TOWN OF*","*CITY OF*"}))&gt;0,"✓","")</f>
        <v>✓</v>
      </c>
      <c r="C213" s="3" t="str">
        <f t="shared" si="3"/>
        <v/>
      </c>
      <c r="D213" t="s">
        <v>213</v>
      </c>
      <c r="E213" t="s">
        <v>6</v>
      </c>
      <c r="F213" s="3" t="s">
        <v>360</v>
      </c>
      <c r="G213" s="3">
        <v>10</v>
      </c>
      <c r="H213" t="str" cm="1">
        <f t="array" ref="H213:M213">IFERROR(
  _xlfn.LET(
    _xlpm.clean, _xlfn.LAMBDA(_xlpm.x, TRIM(SUBSTITUTE(_xlpm.x,CHAR(160)," "))),
    _xlpm.t, CLEAN($D213),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READING, TOWN OF - 4/13/2026</v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 spans="2:14" x14ac:dyDescent="0.35">
      <c r="B214" s="3" t="str" cm="1">
        <f t="array" ref="B214">IF(SUM(COUNTIF($H214:$N214,{"*TOWN OF*","*CITY OF*"}))&gt;0,"✓","")</f>
        <v/>
      </c>
      <c r="C214" s="3" t="str">
        <f t="shared" si="3"/>
        <v>✓</v>
      </c>
      <c r="D214" t="s">
        <v>214</v>
      </c>
      <c r="E214" t="s">
        <v>5</v>
      </c>
      <c r="F214" s="3" t="s">
        <v>194</v>
      </c>
      <c r="G214" s="3">
        <v>10</v>
      </c>
      <c r="H214" t="str" cm="1">
        <f t="array" ref="H214:M214">IFERROR(
  _xlfn.LET(
    _xlpm.clean, _xlfn.LAMBDA(_xlpm.x, TRIM(SUBSTITUTE(_xlpm.x,CHAR(160)," "))),
    _xlpm.t, CLEAN($D214),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 spans="2:14" x14ac:dyDescent="0.35">
      <c r="B215" s="3" t="str" cm="1">
        <f t="array" ref="B215">IF(SUM(COUNTIF($H215:$N215,{"*TOWN OF*","*CITY OF*"}))&gt;0,"✓","")</f>
        <v>✓</v>
      </c>
      <c r="C215" s="3" t="str">
        <f t="shared" si="3"/>
        <v/>
      </c>
      <c r="D215" t="s">
        <v>215</v>
      </c>
      <c r="E215" t="s">
        <v>6</v>
      </c>
      <c r="F215" s="3" t="s">
        <v>194</v>
      </c>
      <c r="G215" s="3">
        <v>10</v>
      </c>
      <c r="H215" t="str" cm="1">
        <f t="array" ref="H215:M215">IFERROR(
  _xlfn.LET(
    _xlpm.clean, _xlfn.LAMBDA(_xlpm.x, TRIM(SUBSTITUTE(_xlpm.x,CHAR(160)," "))),
    _xlpm.t, CLEAN($D215),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ROCKPORT, TOWN OF - 4/21/2026</v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 spans="2:14" x14ac:dyDescent="0.35">
      <c r="B216" s="3" t="str" cm="1">
        <f t="array" ref="B216">IF(SUM(COUNTIF($H216:$N216,{"*TOWN OF*","*CITY OF*"}))&gt;0,"✓","")</f>
        <v>✓</v>
      </c>
      <c r="C216" s="3" t="str">
        <f t="shared" si="3"/>
        <v/>
      </c>
      <c r="D216" t="s">
        <v>216</v>
      </c>
      <c r="E216" t="s">
        <v>6</v>
      </c>
      <c r="F216" s="3" t="s">
        <v>194</v>
      </c>
      <c r="G216" s="3">
        <v>10</v>
      </c>
      <c r="H216" t="str" cm="1">
        <f t="array" ref="H216:M216">IFERROR(
  _xlfn.LET(
    _xlpm.clean, _xlfn.LAMBDA(_xlpm.x, TRIM(SUBSTITUTE(_xlpm.x,CHAR(160)," "))),
    _xlpm.t, CLEAN($D216),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ROWLEY, TOWN OF - 4/21/2026</v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 spans="2:14" s="6" customFormat="1" x14ac:dyDescent="0.35">
      <c r="B217" s="3" t="str" cm="1">
        <f t="array" ref="B217">IF(SUM(COUNTIF($H217:$N217,{"*TOWN OF*","*CITY OF*"}))&gt;0,"✓","")</f>
        <v>✓</v>
      </c>
      <c r="C217" s="3" t="str">
        <f t="shared" si="3"/>
        <v/>
      </c>
      <c r="D217" t="s">
        <v>217</v>
      </c>
      <c r="E217" t="s">
        <v>5</v>
      </c>
      <c r="F217" s="3" t="s">
        <v>194</v>
      </c>
      <c r="G217" s="3">
        <v>10</v>
      </c>
      <c r="H217" t="str" cm="1">
        <f t="array" ref="H217:M217">IFERROR(
  _xlfn.LET(
    _xlpm.clean, _xlfn.LAMBDA(_xlpm.x, TRIM(SUBSTITUTE(_xlpm.x,CHAR(160)," "))),
    _xlpm.t, CLEAN($D217),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SALEM, TOWN OF, NH</v>
      </c>
      <c r="I217" t="str">
        <v>SALEM, CITY OF</v>
      </c>
      <c r="J217" t="str">
        <v/>
      </c>
      <c r="K217" t="str">
        <v/>
      </c>
      <c r="L217" t="str">
        <v/>
      </c>
      <c r="M217" t="str">
        <v/>
      </c>
      <c r="N217"/>
    </row>
    <row r="218" spans="2:14" x14ac:dyDescent="0.35">
      <c r="B218" s="3" t="str" cm="1">
        <f t="array" ref="B218">IF(SUM(COUNTIF($H218:$N218,{"*TOWN OF*","*CITY OF*"}))&gt;0,"✓","")</f>
        <v>✓</v>
      </c>
      <c r="C218" s="3" t="str">
        <f t="shared" si="3"/>
        <v/>
      </c>
      <c r="D218" t="s">
        <v>219</v>
      </c>
      <c r="E218" t="s">
        <v>6</v>
      </c>
      <c r="F218" s="3" t="s">
        <v>194</v>
      </c>
      <c r="G218" s="3">
        <v>10</v>
      </c>
      <c r="H218" t="str" cm="1">
        <f t="array" ref="H218:M218">IFERROR(
  _xlfn.LET(
    _xlpm.clean, _xlfn.LAMBDA(_xlpm.x, TRIM(SUBSTITUTE(_xlpm.x,CHAR(160)," "))),
    _xlpm.t, CLEAN($D218),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SAUGUS, TOWN OF</v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 spans="2:14" x14ac:dyDescent="0.35">
      <c r="B219" s="3" t="str" cm="1">
        <f t="array" ref="B219">IF(SUM(COUNTIF($H219:$N219,{"*TOWN OF*","*CITY OF*"}))&gt;0,"✓","")</f>
        <v/>
      </c>
      <c r="C219" s="3" t="str">
        <f t="shared" si="3"/>
        <v>✓</v>
      </c>
      <c r="D219" t="s">
        <v>220</v>
      </c>
      <c r="E219" t="s">
        <v>6</v>
      </c>
      <c r="F219" s="3" t="s">
        <v>194</v>
      </c>
      <c r="G219" s="3">
        <v>10</v>
      </c>
      <c r="H219" t="str" cm="1">
        <f t="array" ref="H219:M219">IFERROR(
  _xlfn.LET(
    _xlpm.clean, _xlfn.LAMBDA(_xlpm.x, TRIM(SUBSTITUTE(_xlpm.x,CHAR(160)," "))),
    _xlpm.t, CLEAN($D219),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 spans="2:14" x14ac:dyDescent="0.35">
      <c r="B220" s="3" t="str" cm="1">
        <f t="array" ref="B220">IF(SUM(COUNTIF($H220:$N220,{"*TOWN OF*","*CITY OF*"}))&gt;0,"✓","")</f>
        <v>✓</v>
      </c>
      <c r="C220" s="3" t="str">
        <f t="shared" si="3"/>
        <v/>
      </c>
      <c r="D220" t="s">
        <v>222</v>
      </c>
      <c r="E220" t="s">
        <v>6</v>
      </c>
      <c r="F220" s="3" t="s">
        <v>194</v>
      </c>
      <c r="G220" s="3">
        <v>10</v>
      </c>
      <c r="H220" t="str" cm="1">
        <f t="array" ref="H220:M220">IFERROR(
  _xlfn.LET(
    _xlpm.clean, _xlfn.LAMBDA(_xlpm.x, TRIM(SUBSTITUTE(_xlpm.x,CHAR(160)," "))),
    _xlpm.t, CLEAN($D220),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TOPSFIELD, TOWN OF</v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 spans="2:14" x14ac:dyDescent="0.35">
      <c r="B221" s="3" t="str" cm="1">
        <f t="array" ref="B221">IF(SUM(COUNTIF($H221:$N221,{"*TOWN OF*","*CITY OF*"}))&gt;0,"✓","")</f>
        <v>✓</v>
      </c>
      <c r="C221" s="3" t="str">
        <f t="shared" si="3"/>
        <v/>
      </c>
      <c r="D221" t="s">
        <v>224</v>
      </c>
      <c r="E221" t="s">
        <v>6</v>
      </c>
      <c r="F221" s="3" t="s">
        <v>194</v>
      </c>
      <c r="G221" s="3">
        <v>10</v>
      </c>
      <c r="H221" t="str" cm="1">
        <f t="array" ref="H221:M221">IFERROR(
  _xlfn.LET(
    _xlpm.clean, _xlfn.LAMBDA(_xlpm.x, TRIM(SUBSTITUTE(_xlpm.x,CHAR(160)," "))),
    _xlpm.t, CLEAN($D221),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WENHAM, TOWN OF - 4/30/2026</v>
      </c>
      <c r="I221" t="str">
        <v>HAMILTON-WENHAM RSD - 4/14/2026</v>
      </c>
      <c r="J221" t="str">
        <v/>
      </c>
      <c r="K221" t="str">
        <v/>
      </c>
      <c r="L221" t="str">
        <v/>
      </c>
      <c r="M221" t="str">
        <v/>
      </c>
    </row>
    <row r="222" spans="2:14" x14ac:dyDescent="0.35">
      <c r="B222" s="3" t="str" cm="1">
        <f t="array" ref="B222">IF(SUM(COUNTIF($H222:$N222,{"*TOWN OF*","*CITY OF*"}))&gt;0,"✓","")</f>
        <v/>
      </c>
      <c r="C222" s="3" t="str">
        <f t="shared" si="3"/>
        <v>✓</v>
      </c>
      <c r="D222" t="s">
        <v>140</v>
      </c>
      <c r="E222" t="s">
        <v>6</v>
      </c>
      <c r="F222" s="3" t="s">
        <v>360</v>
      </c>
      <c r="G222" s="3">
        <v>11</v>
      </c>
      <c r="H222" t="str" cm="1">
        <f t="array" ref="H222:M222">IFERROR(
  _xlfn.LET(
    _xlpm.clean, _xlfn.LAMBDA(_xlpm.x, TRIM(SUBSTITUTE(_xlpm.x,CHAR(160)," "))),
    _xlpm.t, CLEAN($D222),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 spans="2:14" x14ac:dyDescent="0.35">
      <c r="B223" s="3" t="str" cm="1">
        <f t="array" ref="B223">IF(SUM(COUNTIF($H223:$N223,{"*TOWN OF*","*CITY OF*"}))&gt;0,"✓","")</f>
        <v>✓</v>
      </c>
      <c r="C223" s="3" t="str">
        <f t="shared" si="3"/>
        <v/>
      </c>
      <c r="D223" t="s">
        <v>143</v>
      </c>
      <c r="E223" t="s">
        <v>6</v>
      </c>
      <c r="F223" s="3" t="s">
        <v>360</v>
      </c>
      <c r="G223" s="3">
        <v>11</v>
      </c>
      <c r="H223" t="str" cm="1">
        <f t="array" ref="H223:M223">IFERROR(
  _xlfn.LET(
    _xlpm.clean, _xlfn.LAMBDA(_xlpm.x, TRIM(SUBSTITUTE(_xlpm.x,CHAR(160)," "))),
    _xlpm.t, CLEAN($D223),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BELMONT, TOWN OF - 3/30/2026</v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 spans="2:14" x14ac:dyDescent="0.35">
      <c r="B224" s="3" t="str" cm="1">
        <f t="array" ref="B224">IF(SUM(COUNTIF($H224:$N224,{"*TOWN OF*","*CITY OF*"}))&gt;0,"✓","")</f>
        <v/>
      </c>
      <c r="C224" s="3" t="str">
        <f t="shared" si="3"/>
        <v>✓</v>
      </c>
      <c r="D224" t="s">
        <v>144</v>
      </c>
      <c r="E224" t="s">
        <v>5</v>
      </c>
      <c r="F224" s="3" t="s">
        <v>361</v>
      </c>
      <c r="G224" s="3">
        <v>11</v>
      </c>
      <c r="H224" t="str" cm="1">
        <f t="array" ref="H224:M224">IFERROR(
  _xlfn.LET(
    _xlpm.clean, _xlfn.LAMBDA(_xlpm.x, TRIM(SUBSTITUTE(_xlpm.x,CHAR(160)," "))),
    _xlpm.t, CLEAN($D224),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 spans="2:14" x14ac:dyDescent="0.35">
      <c r="B225" s="3" t="str" cm="1">
        <f t="array" ref="B225">IF(SUM(COUNTIF($H225:$N225,{"*TOWN OF*","*CITY OF*"}))&gt;0,"✓","")</f>
        <v/>
      </c>
      <c r="C225" s="3" t="str">
        <f t="shared" si="3"/>
        <v>✓</v>
      </c>
      <c r="D225" t="s">
        <v>145</v>
      </c>
      <c r="E225" t="s">
        <v>6</v>
      </c>
      <c r="F225" s="3" t="s">
        <v>250</v>
      </c>
      <c r="G225" s="3">
        <v>11</v>
      </c>
      <c r="H225" t="str" cm="1">
        <f t="array" ref="H225:M225">IFERROR(
  _xlfn.LET(
    _xlpm.clean, _xlfn.LAMBDA(_xlpm.x, TRIM(SUBSTITUTE(_xlpm.x,CHAR(160)," "))),
    _xlpm.t, CLEAN($D225),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 spans="2:14" x14ac:dyDescent="0.35">
      <c r="B226" s="3" t="str" cm="1">
        <f t="array" ref="B226">IF(SUM(COUNTIF($H226:$N226,{"*TOWN OF*","*CITY OF*"}))&gt;0,"✓","")</f>
        <v/>
      </c>
      <c r="C226" s="3" t="str">
        <f t="shared" si="3"/>
        <v>✓</v>
      </c>
      <c r="D226" t="s">
        <v>147</v>
      </c>
      <c r="E226" t="s">
        <v>5</v>
      </c>
      <c r="F226" s="3" t="s">
        <v>360</v>
      </c>
      <c r="G226" s="3">
        <v>11</v>
      </c>
      <c r="H226" t="str" cm="1">
        <f t="array" ref="H226:M226">IFERROR(
  _xlfn.LET(
    _xlpm.clean, _xlfn.LAMBDA(_xlpm.x, TRIM(SUBSTITUTE(_xlpm.x,CHAR(160)," "))),
    _xlpm.t, CLEAN($D226),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 spans="2:14" x14ac:dyDescent="0.35">
      <c r="B227" s="3" t="str" cm="1">
        <f t="array" ref="B227">IF(SUM(COUNTIF($H227:$N227,{"*TOWN OF*","*CITY OF*"}))&gt;0,"✓","")</f>
        <v>✓</v>
      </c>
      <c r="C227" s="3" t="str">
        <f t="shared" si="3"/>
        <v/>
      </c>
      <c r="D227" t="s">
        <v>148</v>
      </c>
      <c r="E227" t="s">
        <v>5</v>
      </c>
      <c r="F227" s="3" t="s">
        <v>361</v>
      </c>
      <c r="G227" s="3">
        <v>11</v>
      </c>
      <c r="H227" t="str" cm="1">
        <f t="array" ref="H227:M227">IFERROR(
  _xlfn.LET(
    _xlpm.clean, _xlfn.LAMBDA(_xlpm.x, TRIM(SUBSTITUTE(_xlpm.x,CHAR(160)," "))),
    _xlpm.t, CLEAN($D227),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CHELSEA, CITY OF - 3/18/2026</v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 spans="2:14" x14ac:dyDescent="0.35">
      <c r="B228" s="3" t="str" cm="1">
        <f t="array" ref="B228">IF(SUM(COUNTIF($H228:$N228,{"*TOWN OF*","*CITY OF*"}))&gt;0,"✓","")</f>
        <v>✓</v>
      </c>
      <c r="C228" s="3" t="str">
        <f t="shared" si="3"/>
        <v/>
      </c>
      <c r="D228" t="s">
        <v>152</v>
      </c>
      <c r="E228" t="s">
        <v>5</v>
      </c>
      <c r="F228" s="3" t="s">
        <v>360</v>
      </c>
      <c r="G228" s="3">
        <v>11</v>
      </c>
      <c r="H228" t="str" cm="1">
        <f t="array" ref="H228:M228">IFERROR(
  _xlfn.LET(
    _xlpm.clean, _xlfn.LAMBDA(_xlpm.x, TRIM(SUBSTITUTE(_xlpm.x,CHAR(160)," "))),
    _xlpm.t, CLEAN($D228),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EVERETT, CITY OF - 6/2/2026</v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 spans="2:14" x14ac:dyDescent="0.35">
      <c r="B229" s="3" t="str" cm="1">
        <f t="array" ref="B229">IF(SUM(COUNTIF($H229:$N229,{"*TOWN OF*","*CITY OF*"}))&gt;0,"✓","")</f>
        <v/>
      </c>
      <c r="C229" s="3" t="str">
        <f t="shared" si="3"/>
        <v>✓</v>
      </c>
      <c r="D229" t="s">
        <v>157</v>
      </c>
      <c r="E229" t="s">
        <v>5</v>
      </c>
      <c r="F229" s="3" t="s">
        <v>360</v>
      </c>
      <c r="G229" s="3">
        <v>11</v>
      </c>
      <c r="H229" t="str" cm="1">
        <f t="array" ref="H229:M229">IFERROR(
  _xlfn.LET(
    _xlpm.clean, _xlfn.LAMBDA(_xlpm.x, TRIM(SUBSTITUTE(_xlpm.x,CHAR(160)," "))),
    _xlpm.t, CLEAN($D229),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CAMBRIDGE HEALTH ALLIANCE</v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 spans="2:14" x14ac:dyDescent="0.35">
      <c r="B230" s="3" t="str" cm="1">
        <f t="array" ref="B230">IF(SUM(COUNTIF($H230:$N230,{"*TOWN OF*","*CITY OF*"}))&gt;0,"✓","")</f>
        <v/>
      </c>
      <c r="C230" s="3" t="str">
        <f t="shared" si="3"/>
        <v>✓</v>
      </c>
      <c r="D230" t="s">
        <v>159</v>
      </c>
      <c r="E230" t="s">
        <v>5</v>
      </c>
      <c r="F230" s="3" t="s">
        <v>360</v>
      </c>
      <c r="G230" s="3">
        <v>11</v>
      </c>
      <c r="H230" t="str" cm="1">
        <f t="array" ref="H230:M230">IFERROR(
  _xlfn.LET(
    _xlpm.clean, _xlfn.LAMBDA(_xlpm.x, TRIM(SUBSTITUTE(_xlpm.x,CHAR(160)," "))),
    _xlpm.t, CLEAN($D230),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 spans="2:14" x14ac:dyDescent="0.35">
      <c r="B231" s="3" t="str" cm="1">
        <f t="array" ref="B231">IF(SUM(COUNTIF($H231:$N231,{"*TOWN OF*","*CITY OF*"}))&gt;0,"✓","")</f>
        <v>✓</v>
      </c>
      <c r="C231" s="3" t="str">
        <f t="shared" si="3"/>
        <v/>
      </c>
      <c r="D231" t="s">
        <v>160</v>
      </c>
      <c r="E231" t="s">
        <v>5</v>
      </c>
      <c r="F231" s="3" t="s">
        <v>360</v>
      </c>
      <c r="G231" s="3">
        <v>11</v>
      </c>
      <c r="H231" t="str" cm="1">
        <f t="array" ref="H231:M231">IFERROR(
  _xlfn.LET(
    _xlpm.clean, _xlfn.LAMBDA(_xlpm.x, TRIM(SUBSTITUTE(_xlpm.x,CHAR(160)," "))),
    _xlpm.t, CLEAN($D231),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MELROSE, CITY OF - 4/21/2026</v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 spans="2:14" s="6" customFormat="1" x14ac:dyDescent="0.35">
      <c r="B232" s="3" t="str" cm="1">
        <f t="array" ref="B232">IF(SUM(COUNTIF($H232:$N232,{"*TOWN OF*","*CITY OF*"}))&gt;0,"✓","")</f>
        <v/>
      </c>
      <c r="C232" s="3" t="str">
        <f t="shared" si="3"/>
        <v>✓</v>
      </c>
      <c r="D232" t="s">
        <v>164</v>
      </c>
      <c r="E232" t="s">
        <v>5</v>
      </c>
      <c r="F232" s="3" t="s">
        <v>360</v>
      </c>
      <c r="G232" s="3">
        <v>11</v>
      </c>
      <c r="H232" t="str" cm="1">
        <f t="array" ref="H232:M232">IFERROR(
  _xlfn.LET(
    _xlpm.clean, _xlfn.LAMBDA(_xlpm.x, TRIM(SUBSTITUTE(_xlpm.x,CHAR(160)," "))),
    _xlpm.t, CLEAN($D232),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/>
    </row>
    <row r="233" spans="2:14" x14ac:dyDescent="0.35">
      <c r="B233" s="3" t="str" cm="1">
        <f t="array" ref="B233">IF(SUM(COUNTIF($H233:$N233,{"*TOWN OF*","*CITY OF*"}))&gt;0,"✓","")</f>
        <v>✓</v>
      </c>
      <c r="C233" s="3" t="str">
        <f t="shared" si="3"/>
        <v/>
      </c>
      <c r="D233" t="s">
        <v>166</v>
      </c>
      <c r="E233" t="s">
        <v>5</v>
      </c>
      <c r="F233" s="3" t="s">
        <v>250</v>
      </c>
      <c r="G233" s="3">
        <v>11</v>
      </c>
      <c r="H233" t="str" cm="1">
        <f t="array" ref="H233:M233">IFERROR(
  _xlfn.LET(
    _xlpm.clean, _xlfn.LAMBDA(_xlpm.x, TRIM(SUBSTITUTE(_xlpm.x,CHAR(160)," "))),
    _xlpm.t, CLEAN($D233),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QUINCY, CITY OF</v>
      </c>
      <c r="I233" t="str">
        <v>QUINCY COLLEGE</v>
      </c>
      <c r="J233" t="str">
        <v/>
      </c>
      <c r="K233" t="str">
        <v/>
      </c>
      <c r="L233" t="str">
        <v/>
      </c>
      <c r="M233" t="str">
        <v/>
      </c>
    </row>
    <row r="234" spans="2:14" x14ac:dyDescent="0.35">
      <c r="B234" s="3" t="str" cm="1">
        <f t="array" ref="B234">IF(SUM(COUNTIF($H234:$N234,{"*TOWN OF*","*CITY OF*"}))&gt;0,"✓","")</f>
        <v>✓</v>
      </c>
      <c r="C234" s="3" t="str">
        <f t="shared" si="3"/>
        <v/>
      </c>
      <c r="D234" t="s">
        <v>168</v>
      </c>
      <c r="E234" t="s">
        <v>5</v>
      </c>
      <c r="F234" s="3" t="s">
        <v>361</v>
      </c>
      <c r="G234" s="3">
        <v>11</v>
      </c>
      <c r="H234" t="str" cm="1">
        <f t="array" ref="H234:M234">IFERROR(
  _xlfn.LET(
    _xlpm.clean, _xlfn.LAMBDA(_xlpm.x, TRIM(SUBSTITUTE(_xlpm.x,CHAR(160)," "))),
    _xlpm.t, CLEAN($D234),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REVERE, CITY OF</v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 spans="2:14" x14ac:dyDescent="0.35">
      <c r="B235" s="3" t="str" cm="1">
        <f t="array" ref="B235">IF(SUM(COUNTIF($H235:$N235,{"*TOWN OF*","*CITY OF*"}))&gt;0,"✓","")</f>
        <v/>
      </c>
      <c r="C235" s="3" t="str">
        <f t="shared" si="3"/>
        <v>✓</v>
      </c>
      <c r="D235" t="s">
        <v>170</v>
      </c>
      <c r="E235" t="s">
        <v>5</v>
      </c>
      <c r="F235" s="3" t="s">
        <v>360</v>
      </c>
      <c r="G235" s="3">
        <v>11</v>
      </c>
      <c r="H235" t="str" cm="1">
        <f t="array" ref="H235:M235">IFERROR(
  _xlfn.LET(
    _xlpm.clean, _xlfn.LAMBDA(_xlpm.x, TRIM(SUBSTITUTE(_xlpm.x,CHAR(160)," "))),
    _xlpm.t, CLEAN($D235),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 spans="2:14" x14ac:dyDescent="0.35">
      <c r="B236" s="3" t="str" cm="1">
        <f t="array" ref="B236">IF(SUM(COUNTIF($H236:$N236,{"*TOWN OF*","*CITY OF*"}))&gt;0,"✓","")</f>
        <v>✓</v>
      </c>
      <c r="C236" s="3" t="str">
        <f t="shared" si="3"/>
        <v/>
      </c>
      <c r="D236" t="s">
        <v>171</v>
      </c>
      <c r="E236" t="s">
        <v>6</v>
      </c>
      <c r="F236" s="3" t="s">
        <v>360</v>
      </c>
      <c r="G236" s="3">
        <v>11</v>
      </c>
      <c r="H236" t="str" cm="1">
        <f t="array" ref="H236:M236">IFERROR(
  _xlfn.LET(
    _xlpm.clean, _xlfn.LAMBDA(_xlpm.x, TRIM(SUBSTITUTE(_xlpm.x,CHAR(160)," "))),
    _xlpm.t, CLEAN($D236),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STONEHAM, TOWN OF - 6/2/2026</v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 spans="2:14" s="6" customFormat="1" x14ac:dyDescent="0.35">
      <c r="B237" s="3" t="str" cm="1">
        <f t="array" ref="B237">IF(SUM(COUNTIF($H237:$N237,{"*TOWN OF*","*CITY OF*"}))&gt;0,"✓","")</f>
        <v/>
      </c>
      <c r="C237" s="3" t="str">
        <f t="shared" si="3"/>
        <v>✓</v>
      </c>
      <c r="D237" t="s">
        <v>173</v>
      </c>
      <c r="E237" t="s">
        <v>6</v>
      </c>
      <c r="F237" s="3" t="s">
        <v>360</v>
      </c>
      <c r="G237" s="3">
        <v>11</v>
      </c>
      <c r="H237" t="str" cm="1">
        <f t="array" ref="H237:M237">IFERROR(
  _xlfn.LET(
    _xlpm.clean, _xlfn.LAMBDA(_xlpm.x, TRIM(SUBSTITUTE(_xlpm.x,CHAR(160)," "))),
    _xlpm.t, CLEAN($D237),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/>
    </row>
    <row r="238" spans="2:14" x14ac:dyDescent="0.35">
      <c r="B238" s="3" t="str" cm="1">
        <f t="array" ref="B238">IF(SUM(COUNTIF($H238:$N238,{"*TOWN OF*","*CITY OF*"}))&gt;0,"✓","")</f>
        <v/>
      </c>
      <c r="C238" s="3" t="str">
        <f t="shared" si="3"/>
        <v>✓</v>
      </c>
      <c r="D238" t="s">
        <v>174</v>
      </c>
      <c r="E238" t="s">
        <v>5</v>
      </c>
      <c r="F238" s="3" t="s">
        <v>360</v>
      </c>
      <c r="G238" s="3">
        <v>11</v>
      </c>
      <c r="H238" t="str" cm="1">
        <f t="array" ref="H238:M238">IFERROR(
  _xlfn.LET(
    _xlpm.clean, _xlfn.LAMBDA(_xlpm.x, TRIM(SUBSTITUTE(_xlpm.x,CHAR(160)," "))),
    _xlpm.t, CLEAN($D238),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 spans="2:14" x14ac:dyDescent="0.35">
      <c r="B239" s="3" t="str" cm="1">
        <f t="array" ref="B239">IF(SUM(COUNTIF($H239:$N239,{"*TOWN OF*","*CITY OF*"}))&gt;0,"✓","")</f>
        <v/>
      </c>
      <c r="C239" s="3" t="str">
        <f t="shared" si="3"/>
        <v>✓</v>
      </c>
      <c r="D239" t="s">
        <v>175</v>
      </c>
      <c r="E239" t="s">
        <v>5</v>
      </c>
      <c r="F239" s="3" t="s">
        <v>360</v>
      </c>
      <c r="G239" s="3">
        <v>11</v>
      </c>
      <c r="H239" t="str" cm="1">
        <f t="array" ref="H239:M239">IFERROR(
  _xlfn.LET(
    _xlpm.clean, _xlfn.LAMBDA(_xlpm.x, TRIM(SUBSTITUTE(_xlpm.x,CHAR(160)," "))),
    _xlpm.t, CLEAN($D239),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 spans="2:14" x14ac:dyDescent="0.35">
      <c r="B240" s="3" t="str" cm="1">
        <f t="array" ref="B240">IF(SUM(COUNTIF($H240:$N240,{"*TOWN OF*","*CITY OF*"}))&gt;0,"✓","")</f>
        <v/>
      </c>
      <c r="C240" s="3" t="str">
        <f t="shared" si="3"/>
        <v>✓</v>
      </c>
      <c r="D240" t="s">
        <v>181</v>
      </c>
      <c r="E240" t="s">
        <v>6</v>
      </c>
      <c r="F240" s="3" t="s">
        <v>360</v>
      </c>
      <c r="G240" s="3">
        <v>11</v>
      </c>
      <c r="H240" t="str" cm="1">
        <f t="array" ref="H240:M240">IFERROR(
  _xlfn.LET(
    _xlpm.clean, _xlfn.LAMBDA(_xlpm.x, TRIM(SUBSTITUTE(_xlpm.x,CHAR(160)," "))),
    _xlpm.t, CLEAN($D240),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 spans="2:13" x14ac:dyDescent="0.35">
      <c r="B241" s="3" t="str" cm="1">
        <f t="array" ref="B241">IF(SUM(COUNTIF($H241:$N241,{"*TOWN OF*","*CITY OF*"}))&gt;0,"✓","")</f>
        <v/>
      </c>
      <c r="C241" s="3" t="str">
        <f t="shared" si="3"/>
        <v>✓</v>
      </c>
      <c r="D241" t="s">
        <v>182</v>
      </c>
      <c r="E241" t="s">
        <v>5</v>
      </c>
      <c r="F241" s="3" t="s">
        <v>361</v>
      </c>
      <c r="G241" s="3">
        <v>11</v>
      </c>
      <c r="H241" t="str" cm="1">
        <f t="array" ref="H241:M241">IFERROR(
  _xlfn.LET(
    _xlpm.clean, _xlfn.LAMBDA(_xlpm.x, TRIM(SUBSTITUTE(_xlpm.x,CHAR(160)," "))),
    _xlpm.t, CLEAN($D241),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 spans="2:13" x14ac:dyDescent="0.35">
      <c r="B242" s="3" t="str" cm="1">
        <f t="array" ref="B242">IF(SUM(COUNTIF($H242:$N242,{"*TOWN OF*","*CITY OF*"}))&gt;0,"✓","")</f>
        <v>✓</v>
      </c>
      <c r="C242" s="3" t="str">
        <f t="shared" si="3"/>
        <v/>
      </c>
      <c r="D242" t="s">
        <v>183</v>
      </c>
      <c r="E242" t="s">
        <v>5</v>
      </c>
      <c r="F242" s="3" t="s">
        <v>360</v>
      </c>
      <c r="G242" s="3">
        <v>11</v>
      </c>
      <c r="H242" t="str" cm="1">
        <f t="array" ref="H242:M242">IFERROR(
  _xlfn.LET(
    _xlpm.clean, _xlfn.LAMBDA(_xlpm.x, TRIM(SUBSTITUTE(_xlpm.x,CHAR(160)," "))),
    _xlpm.t, CLEAN($D242),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WOBURN, CITY OF - 4/30/2026</v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 spans="2:13" x14ac:dyDescent="0.35">
      <c r="B243" s="3" t="str" cm="1">
        <f t="array" ref="B243">IF(SUM(COUNTIF($H243:$N243,{"*TOWN OF*","*CITY OF*"}))&gt;0,"✓","")</f>
        <v>✓</v>
      </c>
      <c r="C243" s="3" t="str">
        <f t="shared" si="3"/>
        <v/>
      </c>
      <c r="D243" t="s">
        <v>141</v>
      </c>
      <c r="E243" t="s">
        <v>6</v>
      </c>
      <c r="F243" s="3" t="s">
        <v>360</v>
      </c>
      <c r="G243" s="3">
        <v>12</v>
      </c>
      <c r="H243" t="str" cm="1">
        <f t="array" ref="H243:M243">IFERROR(
  _xlfn.LET(
    _xlpm.clean, _xlfn.LAMBDA(_xlpm.x, TRIM(SUBSTITUTE(_xlpm.x,CHAR(160)," "))),
    _xlpm.t, CLEAN($D243),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ASHLAND, TOWN OF - 4/22/2026</v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 spans="2:13" x14ac:dyDescent="0.35">
      <c r="B244" s="3" t="str" cm="1">
        <f t="array" ref="B244">IF(SUM(COUNTIF($H244:$N244,{"*TOWN OF*","*CITY OF*"}))&gt;0,"✓","")</f>
        <v>✓</v>
      </c>
      <c r="C244" s="3" t="str">
        <f t="shared" si="3"/>
        <v/>
      </c>
      <c r="D244" t="s">
        <v>142</v>
      </c>
      <c r="E244" t="s">
        <v>6</v>
      </c>
      <c r="F244" s="3" t="s">
        <v>360</v>
      </c>
      <c r="G244" s="3">
        <v>12</v>
      </c>
      <c r="H244" t="str" cm="1">
        <f t="array" ref="H244:M244">IFERROR(
  _xlfn.LET(
    _xlpm.clean, _xlfn.LAMBDA(_xlpm.x, TRIM(SUBSTITUTE(_xlpm.x,CHAR(160)," "))),
    _xlpm.t, CLEAN($D244),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BEDFORD, TOWN OF - 5/21/2026</v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 spans="2:13" x14ac:dyDescent="0.35">
      <c r="B245" s="3" t="str" cm="1">
        <f t="array" ref="B245">IF(SUM(COUNTIF($H245:$N245,{"*TOWN OF*","*CITY OF*"}))&gt;0,"✓","")</f>
        <v/>
      </c>
      <c r="C245" s="3" t="str">
        <f t="shared" si="3"/>
        <v>✓</v>
      </c>
      <c r="D245" t="s">
        <v>146</v>
      </c>
      <c r="E245" t="s">
        <v>6</v>
      </c>
      <c r="F245" s="3" t="s">
        <v>360</v>
      </c>
      <c r="G245" s="3">
        <v>12</v>
      </c>
      <c r="H245" t="str" cm="1">
        <f t="array" ref="H245:M245">IFERROR(
  _xlfn.LET(
    _xlpm.clean, _xlfn.LAMBDA(_xlpm.x, TRIM(SUBSTITUTE(_xlpm.x,CHAR(160)," "))),
    _xlpm.t, CLEAN($D245),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 spans="2:13" x14ac:dyDescent="0.35">
      <c r="B246" s="3" t="str" cm="1">
        <f t="array" ref="B246">IF(SUM(COUNTIF($H246:$N246,{"*TOWN OF*","*CITY OF*"}))&gt;0,"✓","")</f>
        <v/>
      </c>
      <c r="C246" s="3" t="str">
        <f t="shared" si="3"/>
        <v>✓</v>
      </c>
      <c r="D246" t="s">
        <v>149</v>
      </c>
      <c r="E246" t="s">
        <v>6</v>
      </c>
      <c r="F246" s="3" t="s">
        <v>360</v>
      </c>
      <c r="G246" s="3">
        <v>12</v>
      </c>
      <c r="H246" t="str" cm="1">
        <f t="array" ref="H246:M246">IFERROR(
  _xlfn.LET(
    _xlpm.clean, _xlfn.LAMBDA(_xlpm.x, TRIM(SUBSTITUTE(_xlpm.x,CHAR(160)," "))),
    _xlpm.t, CLEAN($D246),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 spans="2:13" x14ac:dyDescent="0.35">
      <c r="B247" s="3" t="str" cm="1">
        <f t="array" ref="B247">IF(SUM(COUNTIF($H247:$N247,{"*TOWN OF*","*CITY OF*"}))&gt;0,"✓","")</f>
        <v/>
      </c>
      <c r="C247" s="3" t="str">
        <f t="shared" si="3"/>
        <v>✓</v>
      </c>
      <c r="D247" t="s">
        <v>150</v>
      </c>
      <c r="E247" t="s">
        <v>6</v>
      </c>
      <c r="F247" s="3" t="s">
        <v>250</v>
      </c>
      <c r="G247" s="3">
        <v>12</v>
      </c>
      <c r="H247" t="str" cm="1">
        <f t="array" ref="H247:M247">IFERROR(
  _xlfn.LET(
    _xlpm.clean, _xlfn.LAMBDA(_xlpm.x, TRIM(SUBSTITUTE(_xlpm.x,CHAR(160)," "))),
    _xlpm.t, CLEAN($D247),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 spans="2:13" x14ac:dyDescent="0.35">
      <c r="B248" s="3" t="str" cm="1">
        <f t="array" ref="B248">IF(SUM(COUNTIF($H248:$N248,{"*TOWN OF*","*CITY OF*"}))&gt;0,"✓","")</f>
        <v>✓</v>
      </c>
      <c r="C248" s="3" t="str">
        <f t="shared" si="3"/>
        <v/>
      </c>
      <c r="D248" t="s">
        <v>151</v>
      </c>
      <c r="E248" t="s">
        <v>6</v>
      </c>
      <c r="F248" s="3" t="s">
        <v>250</v>
      </c>
      <c r="G248" s="3">
        <v>12</v>
      </c>
      <c r="H248" t="str" cm="1">
        <f t="array" ref="H248:M248">IFERROR(
  _xlfn.LET(
    _xlpm.clean, _xlfn.LAMBDA(_xlpm.x, TRIM(SUBSTITUTE(_xlpm.x,CHAR(160)," "))),
    _xlpm.t, CLEAN($D248),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DOVER, TOWN OF - 5/21/2026</v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 spans="2:13" x14ac:dyDescent="0.35">
      <c r="B249" s="3" t="str" cm="1">
        <f t="array" ref="B249">IF(SUM(COUNTIF($H249:$N249,{"*TOWN OF*","*CITY OF*"}))&gt;0,"✓","")</f>
        <v>✓</v>
      </c>
      <c r="C249" s="3" t="str">
        <f t="shared" si="3"/>
        <v/>
      </c>
      <c r="D249" t="s">
        <v>153</v>
      </c>
      <c r="E249" t="s">
        <v>5</v>
      </c>
      <c r="F249" s="3" t="s">
        <v>360</v>
      </c>
      <c r="G249" s="3">
        <v>12</v>
      </c>
      <c r="H249" t="str" cm="1">
        <f t="array" ref="H249:M249">IFERROR(
  _xlfn.LET(
    _xlpm.clean, _xlfn.LAMBDA(_xlpm.x, TRIM(SUBSTITUTE(_xlpm.x,CHAR(160)," "))),
    _xlpm.t, CLEAN($D249),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 MIDDLESEX RVTSD - 5/21/2026</v>
      </c>
      <c r="I249" t="str">
        <v>FRAMINGHAM, CITY OF - 4/22/2026</v>
      </c>
      <c r="J249" t="str">
        <v/>
      </c>
      <c r="K249" t="str">
        <v/>
      </c>
      <c r="L249" t="str">
        <v/>
      </c>
      <c r="M249" t="str">
        <v/>
      </c>
    </row>
    <row r="250" spans="2:13" x14ac:dyDescent="0.35">
      <c r="B250" s="3" t="str" cm="1">
        <f t="array" ref="B250">IF(SUM(COUNTIF($H250:$N250,{"*TOWN OF*","*CITY OF*"}))&gt;0,"✓","")</f>
        <v>✓</v>
      </c>
      <c r="C250" s="3" t="str">
        <f t="shared" si="3"/>
        <v/>
      </c>
      <c r="D250" t="s">
        <v>154</v>
      </c>
      <c r="E250" t="s">
        <v>6</v>
      </c>
      <c r="F250" s="3" t="s">
        <v>360</v>
      </c>
      <c r="G250" s="3">
        <v>12</v>
      </c>
      <c r="H250" t="str" cm="1">
        <f t="array" ref="H250:M250">IFERROR(
  _xlfn.LET(
    _xlpm.clean, _xlfn.LAMBDA(_xlpm.x, TRIM(SUBSTITUTE(_xlpm.x,CHAR(160)," "))),
    _xlpm.t, CLEAN($D250),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HOLLISTON, TOWN OF - 4/22/2026</v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 spans="2:13" x14ac:dyDescent="0.35">
      <c r="B251" s="3" t="str" cm="1">
        <f t="array" ref="B251">IF(SUM(COUNTIF($H251:$N251,{"*TOWN OF*","*CITY OF*"}))&gt;0,"✓","")</f>
        <v>✓</v>
      </c>
      <c r="C251" s="3" t="str">
        <f t="shared" si="3"/>
        <v/>
      </c>
      <c r="D251" t="s">
        <v>155</v>
      </c>
      <c r="E251" t="s">
        <v>6</v>
      </c>
      <c r="F251" s="3" t="s">
        <v>360</v>
      </c>
      <c r="G251" s="3">
        <v>12</v>
      </c>
      <c r="H251" t="str" cm="1">
        <f t="array" ref="H251:M251">IFERROR(
  _xlfn.LET(
    _xlpm.clean, _xlfn.LAMBDA(_xlpm.x, TRIM(SUBSTITUTE(_xlpm.x,CHAR(160)," "))),
    _xlpm.t, CLEAN($D251),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LEXINGTON, TOWN OF - 4/27/2026</v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 spans="2:13" x14ac:dyDescent="0.35">
      <c r="B252" s="3" t="str" cm="1">
        <f t="array" ref="B252">IF(SUM(COUNTIF($H252:$N252,{"*TOWN OF*","*CITY OF*"}))&gt;0,"✓","")</f>
        <v>✓</v>
      </c>
      <c r="C252" s="3" t="str">
        <f t="shared" si="3"/>
        <v/>
      </c>
      <c r="D252" t="s">
        <v>156</v>
      </c>
      <c r="E252" t="s">
        <v>6</v>
      </c>
      <c r="F252" s="3" t="s">
        <v>360</v>
      </c>
      <c r="G252" s="3">
        <v>12</v>
      </c>
      <c r="H252" t="str" cm="1">
        <f t="array" ref="H252:M252">IFERROR(
  _xlfn.LET(
    _xlpm.clean, _xlfn.LAMBDA(_xlpm.x, TRIM(SUBSTITUTE(_xlpm.x,CHAR(160)," "))),
    _xlpm.t, CLEAN($D252),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LINCOLN, TOWN OF - 6/25/2026</v>
      </c>
      <c r="I252" t="str">
        <v>LINCOLN TRUST COMMITTEE</v>
      </c>
      <c r="J252" t="str">
        <v/>
      </c>
      <c r="K252" t="str">
        <v/>
      </c>
      <c r="L252" t="str">
        <v/>
      </c>
      <c r="M252" t="str">
        <v/>
      </c>
    </row>
    <row r="253" spans="2:13" x14ac:dyDescent="0.35">
      <c r="B253" s="3" t="str" cm="1">
        <f t="array" ref="B253">IF(SUM(COUNTIF($H253:$N253,{"*TOWN OF*","*CITY OF*"}))&gt;0,"✓","")</f>
        <v>✓</v>
      </c>
      <c r="C253" s="3" t="str">
        <f t="shared" si="3"/>
        <v/>
      </c>
      <c r="D253" t="s">
        <v>158</v>
      </c>
      <c r="E253" t="s">
        <v>6</v>
      </c>
      <c r="F253" s="3" t="s">
        <v>250</v>
      </c>
      <c r="G253" s="3">
        <v>12</v>
      </c>
      <c r="H253" t="str" cm="1">
        <f t="array" ref="H253:M253">IFERROR(
  _xlfn.LET(
    _xlpm.clean, _xlfn.LAMBDA(_xlpm.x, TRIM(SUBSTITUTE(_xlpm.x,CHAR(160)," "))),
    _xlpm.t, CLEAN($D253),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MEDFIELD, TOWN OF - 6/17/2026</v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 spans="2:13" x14ac:dyDescent="0.35">
      <c r="B254" s="3" t="str" cm="1">
        <f t="array" ref="B254">IF(SUM(COUNTIF($H254:$N254,{"*TOWN OF*","*CITY OF*"}))&gt;0,"✓","")</f>
        <v/>
      </c>
      <c r="C254" s="3" t="str">
        <f t="shared" si="3"/>
        <v>✓</v>
      </c>
      <c r="D254" t="s">
        <v>161</v>
      </c>
      <c r="E254" t="s">
        <v>6</v>
      </c>
      <c r="F254" s="3" t="s">
        <v>250</v>
      </c>
      <c r="G254" s="3">
        <v>12</v>
      </c>
      <c r="H254" t="str" cm="1">
        <f t="array" ref="H254:M254">IFERROR(
  _xlfn.LET(
    _xlpm.clean, _xlfn.LAMBDA(_xlpm.x, TRIM(SUBSTITUTE(_xlpm.x,CHAR(160)," "))),
    _xlpm.t, CLEAN($D254),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UNITED CONGREGATIONAL CHURCH IN MILTON INV.</v>
      </c>
      <c r="I254" t="str">
        <v>MILTON PUBLIC LIBRARY FOUNDATION</v>
      </c>
      <c r="J254" t="str">
        <v>MILTON PUBLIC LIBRARY</v>
      </c>
      <c r="K254" t="str">
        <v/>
      </c>
      <c r="L254" t="str">
        <v/>
      </c>
      <c r="M254" t="str">
        <v/>
      </c>
    </row>
    <row r="255" spans="2:13" x14ac:dyDescent="0.35">
      <c r="B255" s="3" t="str" cm="1">
        <f t="array" ref="B255">IF(SUM(COUNTIF($H255:$N255,{"*TOWN OF*","*CITY OF*"}))&gt;0,"✓","")</f>
        <v>✓</v>
      </c>
      <c r="C255" s="3" t="str">
        <f t="shared" si="3"/>
        <v/>
      </c>
      <c r="D255" t="s">
        <v>162</v>
      </c>
      <c r="E255" t="s">
        <v>6</v>
      </c>
      <c r="F255" s="3" t="s">
        <v>360</v>
      </c>
      <c r="G255" s="3">
        <v>12</v>
      </c>
      <c r="H255" t="str" cm="1">
        <f t="array" ref="H255:M255">IFERROR(
  _xlfn.LET(
    _xlpm.clean, _xlfn.LAMBDA(_xlpm.x, TRIM(SUBSTITUTE(_xlpm.x,CHAR(160)," "))),
    _xlpm.t, CLEAN($D255),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NATICK, TOWN OF - 4/28/2026</v>
      </c>
      <c r="I255" t="str">
        <v>ACCEPT EDUCATION COLLABORATIVE - 5/6/2026</v>
      </c>
      <c r="J255" t="str">
        <v/>
      </c>
      <c r="K255" t="str">
        <v/>
      </c>
      <c r="L255" t="str">
        <v/>
      </c>
      <c r="M255" t="str">
        <v/>
      </c>
    </row>
    <row r="256" spans="2:13" x14ac:dyDescent="0.35">
      <c r="B256" s="3" t="str" cm="1">
        <f t="array" ref="B256">IF(SUM(COUNTIF($H256:$N256,{"*TOWN OF*","*CITY OF*"}))&gt;0,"✓","")</f>
        <v>✓</v>
      </c>
      <c r="C256" s="3" t="str">
        <f t="shared" si="3"/>
        <v/>
      </c>
      <c r="D256" t="s">
        <v>163</v>
      </c>
      <c r="E256" t="s">
        <v>6</v>
      </c>
      <c r="F256" s="3" t="s">
        <v>250</v>
      </c>
      <c r="G256" s="3">
        <v>12</v>
      </c>
      <c r="H256" t="str" cm="1">
        <f t="array" ref="H256:M256">IFERROR(
  _xlfn.LET(
    _xlpm.clean, _xlfn.LAMBDA(_xlpm.x, TRIM(SUBSTITUTE(_xlpm.x,CHAR(160)," "))),
    _xlpm.t, CLEAN($D256),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NEEDHAM, TOWN OF</v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 spans="2:13" x14ac:dyDescent="0.35">
      <c r="B257" s="3" t="str" cm="1">
        <f t="array" ref="B257">IF(SUM(COUNTIF($H257:$N257,{"*TOWN OF*","*CITY OF*"}))&gt;0,"✓","")</f>
        <v>✓</v>
      </c>
      <c r="C257" s="3" t="str">
        <f t="shared" si="3"/>
        <v/>
      </c>
      <c r="D257" t="s">
        <v>165</v>
      </c>
      <c r="E257" t="s">
        <v>6</v>
      </c>
      <c r="F257" s="3" t="s">
        <v>250</v>
      </c>
      <c r="G257" s="3">
        <v>12</v>
      </c>
      <c r="H257" t="str" cm="1">
        <f t="array" ref="H257:M257">IFERROR(
  _xlfn.LET(
    _xlpm.clean, _xlfn.LAMBDA(_xlpm.x, TRIM(SUBSTITUTE(_xlpm.x,CHAR(160)," "))),
    _xlpm.t, CLEAN($D257),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NORWOOD, TOWN OF</v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 spans="2:13" x14ac:dyDescent="0.35">
      <c r="B258" s="3" t="str" cm="1">
        <f t="array" ref="B258">IF(SUM(COUNTIF($H258:$N258,{"*TOWN OF*","*CITY OF*"}))&gt;0,"✓","")</f>
        <v/>
      </c>
      <c r="C258" s="3" t="str">
        <f t="shared" si="3"/>
        <v>✓</v>
      </c>
      <c r="D258" t="s">
        <v>167</v>
      </c>
      <c r="E258" t="s">
        <v>6</v>
      </c>
      <c r="F258" s="3" t="s">
        <v>360</v>
      </c>
      <c r="G258" s="3">
        <v>12</v>
      </c>
      <c r="H258" t="str" cm="1">
        <f t="array" ref="H258:M258">IFERROR(
  _xlfn.LET(
    _xlpm.clean, _xlfn.LAMBDA(_xlpm.x, TRIM(SUBSTITUTE(_xlpm.x,CHAR(160)," "))),
    _xlpm.t, CLEAN($D258),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 spans="2:13" x14ac:dyDescent="0.35">
      <c r="B259" s="3" t="str" cm="1">
        <f t="array" ref="B259">IF(SUM(COUNTIF($H259:$N259,{"*TOWN OF*","*CITY OF*"}))&gt;0,"✓","")</f>
        <v>✓</v>
      </c>
      <c r="C259" s="3" t="str">
        <f t="shared" ref="C259:C322" si="4">IF(AND($B259="",COUNTA($H259:$N259)&gt;0),"✓","")</f>
        <v/>
      </c>
      <c r="D259" t="s">
        <v>169</v>
      </c>
      <c r="E259" t="s">
        <v>6</v>
      </c>
      <c r="F259" s="3" t="s">
        <v>360</v>
      </c>
      <c r="G259" s="3">
        <v>12</v>
      </c>
      <c r="H259" t="str" cm="1">
        <f t="array" ref="H259:M259">IFERROR(
  _xlfn.LET(
    _xlpm.clean, _xlfn.LAMBDA(_xlpm.x, TRIM(SUBSTITUTE(_xlpm.x,CHAR(160)," "))),
    _xlpm.t, CLEAN($D259),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SHERBORN, TOWN OF</v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 spans="2:13" x14ac:dyDescent="0.35">
      <c r="B260" s="3" t="str" cm="1">
        <f t="array" ref="B260">IF(SUM(COUNTIF($H260:$N260,{"*TOWN OF*","*CITY OF*"}))&gt;0,"✓","")</f>
        <v>✓</v>
      </c>
      <c r="C260" s="3" t="str">
        <f t="shared" si="4"/>
        <v/>
      </c>
      <c r="D260" t="s">
        <v>172</v>
      </c>
      <c r="E260" t="s">
        <v>6</v>
      </c>
      <c r="F260" s="3" t="s">
        <v>360</v>
      </c>
      <c r="G260" s="3">
        <v>12</v>
      </c>
      <c r="H260" t="str" cm="1">
        <f t="array" ref="H260:M260">IFERROR(
  _xlfn.LET(
    _xlpm.clean, _xlfn.LAMBDA(_xlpm.x, TRIM(SUBSTITUTE(_xlpm.x,CHAR(160)," "))),
    _xlpm.t, CLEAN($D260),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SUDBURY, TOWN OF - 4/23/2026</v>
      </c>
      <c r="I260" t="str">
        <v>SUDBURY WATER DISTRICT - 4/23/2026</v>
      </c>
      <c r="J260" t="str">
        <v/>
      </c>
      <c r="K260" t="str">
        <v/>
      </c>
      <c r="L260" t="str">
        <v/>
      </c>
      <c r="M260" t="str">
        <v/>
      </c>
    </row>
    <row r="261" spans="2:13" x14ac:dyDescent="0.35">
      <c r="B261" s="3" t="str" cm="1">
        <f t="array" ref="B261">IF(SUM(COUNTIF($H261:$N261,{"*TOWN OF*","*CITY OF*"}))&gt;0,"✓","")</f>
        <v>✓</v>
      </c>
      <c r="C261" s="3" t="str">
        <f t="shared" si="4"/>
        <v/>
      </c>
      <c r="D261" t="s">
        <v>176</v>
      </c>
      <c r="E261" t="s">
        <v>6</v>
      </c>
      <c r="F261" s="3" t="s">
        <v>360</v>
      </c>
      <c r="G261" s="3">
        <v>12</v>
      </c>
      <c r="H261" t="str" cm="1">
        <f t="array" ref="H261:M261">IFERROR(
  _xlfn.LET(
    _xlpm.clean, _xlfn.LAMBDA(_xlpm.x, TRIM(SUBSTITUTE(_xlpm.x,CHAR(160)," "))),
    _xlpm.t, CLEAN($D261),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WAYLAND, TOWN OF - 4/23/2026</v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 spans="2:13" x14ac:dyDescent="0.35">
      <c r="B262" s="3" t="str" cm="1">
        <f t="array" ref="B262">IF(SUM(COUNTIF($H262:$N262,{"*TOWN OF*","*CITY OF*"}))&gt;0,"✓","")</f>
        <v/>
      </c>
      <c r="C262" s="3" t="str">
        <f t="shared" si="4"/>
        <v>✓</v>
      </c>
      <c r="D262" t="s">
        <v>177</v>
      </c>
      <c r="E262" t="s">
        <v>6</v>
      </c>
      <c r="F262" s="3" t="s">
        <v>250</v>
      </c>
      <c r="G262" s="3">
        <v>12</v>
      </c>
      <c r="H262" t="str" cm="1">
        <f t="array" ref="H262:M262">IFERROR(
  _xlfn.LET(
    _xlpm.clean, _xlfn.LAMBDA(_xlpm.x, TRIM(SUBSTITUTE(_xlpm.x,CHAR(160)," "))),
    _xlpm.t, CLEAN($D262),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 spans="2:13" x14ac:dyDescent="0.35">
      <c r="B263" s="3" t="str" cm="1">
        <f t="array" ref="B263">IF(SUM(COUNTIF($H263:$N263,{"*TOWN OF*","*CITY OF*"}))&gt;0,"✓","")</f>
        <v>✓</v>
      </c>
      <c r="C263" s="3" t="str">
        <f t="shared" si="4"/>
        <v/>
      </c>
      <c r="D263" t="s">
        <v>178</v>
      </c>
      <c r="E263" t="s">
        <v>6</v>
      </c>
      <c r="F263" s="3" t="s">
        <v>360</v>
      </c>
      <c r="G263" s="3">
        <v>12</v>
      </c>
      <c r="H263" t="str" cm="1">
        <f t="array" ref="H263:M263">IFERROR(
  _xlfn.LET(
    _xlpm.clean, _xlfn.LAMBDA(_xlpm.x, TRIM(SUBSTITUTE(_xlpm.x,CHAR(160)," "))),
    _xlpm.t, CLEAN($D263),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WESTON, TOWN OF - 4/23/2026</v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 spans="2:13" x14ac:dyDescent="0.35">
      <c r="B264" s="3" t="str" cm="1">
        <f t="array" ref="B264">IF(SUM(COUNTIF($H264:$N264,{"*TOWN OF*","*CITY OF*"}))&gt;0,"✓","")</f>
        <v>✓</v>
      </c>
      <c r="C264" s="3" t="str">
        <f t="shared" si="4"/>
        <v/>
      </c>
      <c r="D264" t="s">
        <v>179</v>
      </c>
      <c r="E264" t="s">
        <v>6</v>
      </c>
      <c r="F264" s="3" t="s">
        <v>250</v>
      </c>
      <c r="G264" s="3">
        <v>12</v>
      </c>
      <c r="H264" t="str" cm="1">
        <f t="array" ref="H264:M264">IFERROR(
  _xlfn.LET(
    _xlpm.clean, _xlfn.LAMBDA(_xlpm.x, TRIM(SUBSTITUTE(_xlpm.x,CHAR(160)," "))),
    _xlpm.t, CLEAN($D264),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WESTWOOD, TOWN OF - 2/27/2026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 spans="2:13" x14ac:dyDescent="0.35">
      <c r="B265" s="3" t="str" cm="1">
        <f t="array" ref="B265">IF(SUM(COUNTIF($H265:$N265,{"*TOWN OF*","*CITY OF*"}))&gt;0,"✓","")</f>
        <v>✓</v>
      </c>
      <c r="C265" s="3" t="str">
        <f t="shared" si="4"/>
        <v/>
      </c>
      <c r="D265" t="s">
        <v>180</v>
      </c>
      <c r="E265" t="s">
        <v>6</v>
      </c>
      <c r="F265" s="3" t="s">
        <v>360</v>
      </c>
      <c r="G265" s="3">
        <v>12</v>
      </c>
      <c r="H265" t="str" cm="1">
        <f t="array" ref="H265:M265">IFERROR(
  _xlfn.LET(
    _xlpm.clean, _xlfn.LAMBDA(_xlpm.x, TRIM(SUBSTITUTE(_xlpm.x,CHAR(160)," "))),
    _xlpm.t, CLEAN($D265),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WILMINGTON, TOWN OF - 4/22/2026</v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 spans="2:13" x14ac:dyDescent="0.35">
      <c r="B266" s="3" t="str" cm="1">
        <f t="array" ref="B266">IF(SUM(COUNTIF($H266:$N266,{"*TOWN OF*","*CITY OF*"}))&gt;0,"✓","")</f>
        <v/>
      </c>
      <c r="C266" s="3" t="str">
        <f t="shared" si="4"/>
        <v>✓</v>
      </c>
      <c r="D266" t="s">
        <v>52</v>
      </c>
      <c r="E266" t="s">
        <v>6</v>
      </c>
      <c r="F266" s="3" t="s">
        <v>83</v>
      </c>
      <c r="G266" s="3">
        <v>13</v>
      </c>
      <c r="H266" t="str" cm="1">
        <f t="array" ref="H266:M266">IFERROR(
  _xlfn.LET(
    _xlpm.clean, _xlfn.LAMBDA(_xlpm.x, TRIM(SUBSTITUTE(_xlpm.x,CHAR(160)," "))),
    _xlpm.t, CLEAN($D266),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 spans="2:13" x14ac:dyDescent="0.35">
      <c r="B267" s="3" t="str" cm="1">
        <f t="array" ref="B267">IF(SUM(COUNTIF($H267:$N267,{"*TOWN OF*","*CITY OF*"}))&gt;0,"✓","")</f>
        <v>✓</v>
      </c>
      <c r="C267" s="3" t="str">
        <f t="shared" si="4"/>
        <v/>
      </c>
      <c r="D267" t="s">
        <v>239</v>
      </c>
      <c r="E267" t="s">
        <v>6</v>
      </c>
      <c r="F267" s="3" t="s">
        <v>250</v>
      </c>
      <c r="G267" s="3">
        <v>13</v>
      </c>
      <c r="H267" t="str" cm="1">
        <f t="array" ref="H267:M267">IFERROR(
  _xlfn.LET(
    _xlpm.clean, _xlfn.LAMBDA(_xlpm.x, TRIM(SUBSTITUTE(_xlpm.x,CHAR(160)," "))),
    _xlpm.t, CLEAN($D267),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FRIENDS OF THE BOYDEN LIBRARY - 6/9/2026</v>
      </c>
      <c r="I267" t="str">
        <v>FOXBOROUGH, TOWN OF - 3/31/2026</v>
      </c>
      <c r="J267" t="str">
        <v/>
      </c>
      <c r="K267" t="str">
        <v/>
      </c>
      <c r="L267" t="str">
        <v/>
      </c>
      <c r="M267" t="str">
        <v/>
      </c>
    </row>
    <row r="268" spans="2:13" x14ac:dyDescent="0.35">
      <c r="B268" s="3" t="str" cm="1">
        <f t="array" ref="B268">IF(SUM(COUNTIF($H268:$N268,{"*TOWN OF*","*CITY OF*"}))&gt;0,"✓","")</f>
        <v>✓</v>
      </c>
      <c r="C268" s="3" t="str">
        <f t="shared" si="4"/>
        <v/>
      </c>
      <c r="D268" t="s">
        <v>229</v>
      </c>
      <c r="E268" t="s">
        <v>6</v>
      </c>
      <c r="F268" s="3" t="s">
        <v>250</v>
      </c>
      <c r="G268" s="3">
        <v>13</v>
      </c>
      <c r="H268" t="str" cm="1">
        <f t="array" ref="H268:M268">IFERROR(
  _xlfn.LET(
    _xlpm.clean, _xlfn.LAMBDA(_xlpm.x, TRIM(SUBSTITUTE(_xlpm.x,CHAR(160)," "))),
    _xlpm.t, CLEAN($D268),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AVON, TOWN OF - 3/31/2026</v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 spans="2:13" x14ac:dyDescent="0.35">
      <c r="B269" s="3" t="str" cm="1">
        <f t="array" ref="B269">IF(SUM(COUNTIF($H269:$N269,{"*TOWN OF*","*CITY OF*"}))&gt;0,"✓","")</f>
        <v/>
      </c>
      <c r="C269" s="3" t="str">
        <f t="shared" si="4"/>
        <v>✓</v>
      </c>
      <c r="D269" t="s">
        <v>231</v>
      </c>
      <c r="E269" t="s">
        <v>5</v>
      </c>
      <c r="F269" s="3" t="s">
        <v>250</v>
      </c>
      <c r="G269" s="3">
        <v>13</v>
      </c>
      <c r="H269" t="str" cm="1">
        <f t="array" ref="H269:M269">IFERROR(
  _xlfn.LET(
    _xlpm.clean, _xlfn.LAMBDA(_xlpm.x, TRIM(SUBSTITUTE(_xlpm.x,CHAR(160)," "))),
    _xlpm.t, CLEAN($D269),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 spans="2:13" x14ac:dyDescent="0.35">
      <c r="B270" s="3" t="str" cm="1">
        <f t="array" ref="B270">IF(SUM(COUNTIF($H270:$N270,{"*TOWN OF*","*CITY OF*"}))&gt;0,"✓","")</f>
        <v>✓</v>
      </c>
      <c r="C270" s="3" t="str">
        <f t="shared" si="4"/>
        <v/>
      </c>
      <c r="D270" t="s">
        <v>232</v>
      </c>
      <c r="E270" t="s">
        <v>6</v>
      </c>
      <c r="F270" s="3" t="s">
        <v>250</v>
      </c>
      <c r="G270" s="3">
        <v>13</v>
      </c>
      <c r="H270" t="str" cm="1">
        <f t="array" ref="H270:M270">IFERROR(
  _xlfn.LET(
    _xlpm.clean, _xlfn.LAMBDA(_xlpm.x, TRIM(SUBSTITUTE(_xlpm.x,CHAR(160)," "))),
    _xlpm.t, CLEAN($D270),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CANTON, TOWN OF - 3/31/2026</v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 spans="2:13" x14ac:dyDescent="0.35">
      <c r="B271" s="3" t="str" cm="1">
        <f t="array" ref="B271">IF(SUM(COUNTIF($H271:$N271,{"*TOWN OF*","*CITY OF*"}))&gt;0,"✓","")</f>
        <v>✓</v>
      </c>
      <c r="C271" s="3" t="str">
        <f t="shared" si="4"/>
        <v/>
      </c>
      <c r="D271" t="s">
        <v>233</v>
      </c>
      <c r="E271" t="s">
        <v>6</v>
      </c>
      <c r="F271" s="3" t="s">
        <v>250</v>
      </c>
      <c r="G271" s="3">
        <v>13</v>
      </c>
      <c r="H271" t="str" cm="1">
        <f t="array" ref="H271:M271">IFERROR(
  _xlfn.LET(
    _xlpm.clean, _xlfn.LAMBDA(_xlpm.x, TRIM(SUBSTITUTE(_xlpm.x,CHAR(160)," "))),
    _xlpm.t, CLEAN($D271),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COHASSET, TOWN OF</v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 spans="2:13" x14ac:dyDescent="0.35">
      <c r="B272" s="3" t="str" cm="1">
        <f t="array" ref="B272">IF(SUM(COUNTIF($H272:$N272,{"*TOWN OF*","*CITY OF*"}))&gt;0,"✓","")</f>
        <v>✓</v>
      </c>
      <c r="C272" s="3" t="str">
        <f t="shared" si="4"/>
        <v/>
      </c>
      <c r="D272" t="s">
        <v>240</v>
      </c>
      <c r="E272" t="s">
        <v>5</v>
      </c>
      <c r="F272" s="3" t="s">
        <v>250</v>
      </c>
      <c r="G272" s="3">
        <v>13</v>
      </c>
      <c r="H272" t="str" cm="1">
        <f t="array" ref="H272:M272">IFERROR(
  _xlfn.LET(
    _xlpm.clean, _xlfn.LAMBDA(_xlpm.x, TRIM(SUBSTITUTE(_xlpm.x,CHAR(160)," "))),
    _xlpm.t, CLEAN($D272),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FRANKLIN, TOWN OF</v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 spans="2:13" x14ac:dyDescent="0.35">
      <c r="B273" s="3" t="str" cm="1">
        <f t="array" ref="B273">IF(SUM(COUNTIF($H273:$N273,{"*TOWN OF*","*CITY OF*"}))&gt;0,"✓","")</f>
        <v/>
      </c>
      <c r="C273" s="3" t="str">
        <f t="shared" si="4"/>
        <v>✓</v>
      </c>
      <c r="D273" t="s">
        <v>242</v>
      </c>
      <c r="E273" t="s">
        <v>6</v>
      </c>
      <c r="F273" s="3" t="s">
        <v>83</v>
      </c>
      <c r="G273" s="3">
        <v>13</v>
      </c>
      <c r="H273" t="str" cm="1">
        <f t="array" ref="H273:M273">IFERROR(
  _xlfn.LET(
    _xlpm.clean, _xlfn.LAMBDA(_xlpm.x, TRIM(SUBSTITUTE(_xlpm.x,CHAR(160)," "))),
    _xlpm.t, CLEAN($D273),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 spans="2:13" x14ac:dyDescent="0.35">
      <c r="B274" s="3" t="str" cm="1">
        <f t="array" ref="B274">IF(SUM(COUNTIF($H274:$N274,{"*TOWN OF*","*CITY OF*"}))&gt;0,"✓","")</f>
        <v>✓</v>
      </c>
      <c r="C274" s="3" t="str">
        <f t="shared" si="4"/>
        <v/>
      </c>
      <c r="D274" t="s">
        <v>243</v>
      </c>
      <c r="E274" t="s">
        <v>6</v>
      </c>
      <c r="F274" s="3" t="s">
        <v>250</v>
      </c>
      <c r="G274" s="3">
        <v>13</v>
      </c>
      <c r="H274" t="str" cm="1">
        <f t="array" ref="H274:M274">IFERROR(
  _xlfn.LET(
    _xlpm.clean, _xlfn.LAMBDA(_xlpm.x, TRIM(SUBSTITUTE(_xlpm.x,CHAR(160)," "))),
    _xlpm.t, CLEAN($D274),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HOLBROOK, TOWN OF</v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 spans="2:13" x14ac:dyDescent="0.35">
      <c r="B275" s="3" t="str" cm="1">
        <f t="array" ref="B275">IF(SUM(COUNTIF($H275:$N275,{"*TOWN OF*","*CITY OF*"}))&gt;0,"✓","")</f>
        <v/>
      </c>
      <c r="C275" s="3" t="str">
        <f t="shared" si="4"/>
        <v>✓</v>
      </c>
      <c r="D275" t="s">
        <v>244</v>
      </c>
      <c r="E275" t="s">
        <v>6</v>
      </c>
      <c r="F275" s="3" t="s">
        <v>83</v>
      </c>
      <c r="G275" s="3">
        <v>13</v>
      </c>
      <c r="H275" t="str" cm="1">
        <f t="array" ref="H275:M275">IFERROR(
  _xlfn.LET(
    _xlpm.clean, _xlfn.LAMBDA(_xlpm.x, TRIM(SUBSTITUTE(_xlpm.x,CHAR(160)," "))),
    _xlpm.t, CLEAN($D275),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MASSACHUSETTS MUNICIPAL UTILITY SELF-INSURANCE TF</v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 spans="2:13" x14ac:dyDescent="0.35">
      <c r="B276" s="3" t="str" cm="1">
        <f t="array" ref="B276">IF(SUM(COUNTIF($H276:$N276,{"*TOWN OF*","*CITY OF*"}))&gt;0,"✓","")</f>
        <v/>
      </c>
      <c r="C276" s="3" t="str">
        <f t="shared" si="4"/>
        <v>✓</v>
      </c>
      <c r="D276" t="s">
        <v>247</v>
      </c>
      <c r="E276" t="s">
        <v>6</v>
      </c>
      <c r="F276" s="3" t="s">
        <v>250</v>
      </c>
      <c r="G276" s="3">
        <v>13</v>
      </c>
      <c r="H276" t="str" cm="1">
        <f t="array" ref="H276:M276">IFERROR(
  _xlfn.LET(
    _xlpm.clean, _xlfn.LAMBDA(_xlpm.x, TRIM(SUBSTITUTE(_xlpm.x,CHAR(160)," "))),
    _xlpm.t, CLEAN($D276),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CHARLES RIVER POLLUTION CONTROL DISTRICT</v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 spans="2:13" x14ac:dyDescent="0.35">
      <c r="B277" s="3" t="str" cm="1">
        <f t="array" ref="B277">IF(SUM(COUNTIF($H277:$N277,{"*TOWN OF*","*CITY OF*"}))&gt;0,"✓","")</f>
        <v>✓</v>
      </c>
      <c r="C277" s="3" t="str">
        <f t="shared" si="4"/>
        <v/>
      </c>
      <c r="D277" t="s">
        <v>248</v>
      </c>
      <c r="E277" t="s">
        <v>6</v>
      </c>
      <c r="F277" s="3" t="s">
        <v>250</v>
      </c>
      <c r="G277" s="3">
        <v>13</v>
      </c>
      <c r="H277" t="str" cm="1">
        <f t="array" ref="H277:M277">IFERROR(
  _xlfn.LET(
    _xlpm.clean, _xlfn.LAMBDA(_xlpm.x, TRIM(SUBSTITUTE(_xlpm.x,CHAR(160)," "))),
    _xlpm.t, CLEAN($D277),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MILLIS, TOWN OF - 4/13/2026</v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 spans="2:13" x14ac:dyDescent="0.35">
      <c r="B278" s="3" t="str" cm="1">
        <f t="array" ref="B278">IF(SUM(COUNTIF($H278:$N278,{"*TOWN OF*","*CITY OF*"}))&gt;0,"✓","")</f>
        <v/>
      </c>
      <c r="C278" s="3" t="str">
        <f t="shared" si="4"/>
        <v>✓</v>
      </c>
      <c r="D278" t="s">
        <v>250</v>
      </c>
      <c r="E278" t="s">
        <v>6</v>
      </c>
      <c r="F278" s="3" t="s">
        <v>250</v>
      </c>
      <c r="G278" s="3">
        <v>13</v>
      </c>
      <c r="H278" t="str" cm="1">
        <f t="array" ref="H278:M278">IFERROR(
  _xlfn.LET(
    _xlpm.clean, _xlfn.LAMBDA(_xlpm.x, TRIM(SUBSTITUTE(_xlpm.x,CHAR(160)," "))),
    _xlpm.t, CLEAN($D278),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METACOMET EMERGENCY COMMUNICATIONS CENTER - 2/20/2026</v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 spans="2:13" x14ac:dyDescent="0.35">
      <c r="B279" s="3" t="str" cm="1">
        <f t="array" ref="B279">IF(SUM(COUNTIF($H279:$N279,{"*TOWN OF*","*CITY OF*"}))&gt;0,"✓","")</f>
        <v/>
      </c>
      <c r="C279" s="3" t="str">
        <f t="shared" si="4"/>
        <v>✓</v>
      </c>
      <c r="D279" t="s">
        <v>253</v>
      </c>
      <c r="E279" t="s">
        <v>6</v>
      </c>
      <c r="F279" s="3" t="s">
        <v>83</v>
      </c>
      <c r="G279" s="3">
        <v>13</v>
      </c>
      <c r="H279" t="str" cm="1">
        <f t="array" ref="H279:M279">IFERROR(
  _xlfn.LET(
    _xlpm.clean, _xlfn.LAMBDA(_xlpm.x, TRIM(SUBSTITUTE(_xlpm.x,CHAR(160)," "))),
    _xlpm.t, CLEAN($D279),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 spans="2:13" x14ac:dyDescent="0.35">
      <c r="B280" s="3" t="str" cm="1">
        <f t="array" ref="B280">IF(SUM(COUNTIF($H280:$N280,{"*TOWN OF*","*CITY OF*"}))&gt;0,"✓","")</f>
        <v>✓</v>
      </c>
      <c r="C280" s="3" t="str">
        <f t="shared" si="4"/>
        <v/>
      </c>
      <c r="D280" t="s">
        <v>255</v>
      </c>
      <c r="E280" t="s">
        <v>5</v>
      </c>
      <c r="F280" s="3" t="s">
        <v>250</v>
      </c>
      <c r="G280" s="3">
        <v>13</v>
      </c>
      <c r="H280" t="str" cm="1">
        <f t="array" ref="H280:M280">IFERROR(
  _xlfn.LET(
    _xlpm.clean, _xlfn.LAMBDA(_xlpm.x, TRIM(SUBSTITUTE(_xlpm.x,CHAR(160)," "))),
    _xlpm.t, CLEAN($D280),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RANDOLPH, TOWN OF</v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 spans="2:13" x14ac:dyDescent="0.35">
      <c r="B281" s="3" t="str" cm="1">
        <f t="array" ref="B281">IF(SUM(COUNTIF($H281:$N281,{"*TOWN OF*","*CITY OF*"}))&gt;0,"✓","")</f>
        <v/>
      </c>
      <c r="C281" s="3" t="str">
        <f t="shared" si="4"/>
        <v>✓</v>
      </c>
      <c r="D281" t="s">
        <v>258</v>
      </c>
      <c r="E281" t="s">
        <v>6</v>
      </c>
      <c r="F281" s="3" t="s">
        <v>83</v>
      </c>
      <c r="G281" s="3">
        <v>13</v>
      </c>
      <c r="H281" t="str" cm="1">
        <f t="array" ref="H281:M281">IFERROR(
  _xlfn.LET(
    _xlpm.clean, _xlfn.LAMBDA(_xlpm.x, TRIM(SUBSTITUTE(_xlpm.x,CHAR(160)," "))),
    _xlpm.t, CLEAN($D281),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 spans="2:13" x14ac:dyDescent="0.35">
      <c r="B282" s="3" t="str" cm="1">
        <f t="array" ref="B282">IF(SUM(COUNTIF($H282:$N282,{"*TOWN OF*","*CITY OF*"}))&gt;0,"✓","")</f>
        <v/>
      </c>
      <c r="C282" s="3" t="str">
        <f t="shared" si="4"/>
        <v>✓</v>
      </c>
      <c r="D282" t="s">
        <v>259</v>
      </c>
      <c r="E282" t="s">
        <v>6</v>
      </c>
      <c r="F282" s="3" t="s">
        <v>83</v>
      </c>
      <c r="G282" s="3">
        <v>13</v>
      </c>
      <c r="H282" t="str" cm="1">
        <f t="array" ref="H282:M282">IFERROR(
  _xlfn.LET(
    _xlpm.clean, _xlfn.LAMBDA(_xlpm.x, TRIM(SUBSTITUTE(_xlpm.x,CHAR(160)," "))),
    _xlpm.t, CLEAN($D282),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 spans="2:13" x14ac:dyDescent="0.35">
      <c r="B283" s="3" t="str" cm="1">
        <f t="array" ref="B283">IF(SUM(COUNTIF($H283:$N283,{"*TOWN OF*","*CITY OF*"}))&gt;0,"✓","")</f>
        <v>✓</v>
      </c>
      <c r="C283" s="3" t="str">
        <f t="shared" si="4"/>
        <v/>
      </c>
      <c r="D283" t="s">
        <v>261</v>
      </c>
      <c r="E283" t="s">
        <v>6</v>
      </c>
      <c r="F283" s="3" t="s">
        <v>250</v>
      </c>
      <c r="G283" s="3">
        <v>13</v>
      </c>
      <c r="H283" t="str" cm="1">
        <f t="array" ref="H283:M283">IFERROR(
  _xlfn.LET(
    _xlpm.clean, _xlfn.LAMBDA(_xlpm.x, TRIM(SUBSTITUTE(_xlpm.x,CHAR(160)," "))),
    _xlpm.t, CLEAN($D283),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SHARON, TOWN OF</v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 spans="2:13" x14ac:dyDescent="0.35">
      <c r="B284" s="3" t="str" cm="1">
        <f t="array" ref="B284">IF(SUM(COUNTIF($H284:$N284,{"*TOWN OF*","*CITY OF*"}))&gt;0,"✓","")</f>
        <v>✓</v>
      </c>
      <c r="C284" s="3" t="str">
        <f t="shared" si="4"/>
        <v/>
      </c>
      <c r="D284" t="s">
        <v>263</v>
      </c>
      <c r="E284" t="s">
        <v>6</v>
      </c>
      <c r="F284" s="3" t="s">
        <v>250</v>
      </c>
      <c r="G284" s="3">
        <v>13</v>
      </c>
      <c r="H284" t="str" cm="1">
        <f t="array" ref="H284:M284">IFERROR(
  _xlfn.LET(
    _xlpm.clean, _xlfn.LAMBDA(_xlpm.x, TRIM(SUBSTITUTE(_xlpm.x,CHAR(160)," "))),
    _xlpm.t, CLEAN($D284),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STOUGHTON, TOWN OF</v>
      </c>
      <c r="I284" t="str">
        <v>STOUGHTON REDEVELOPMENT AUTHORITY - 4/8/2026</v>
      </c>
      <c r="J284" t="str">
        <v/>
      </c>
      <c r="K284" t="str">
        <v/>
      </c>
      <c r="L284" t="str">
        <v/>
      </c>
      <c r="M284" t="str">
        <v/>
      </c>
    </row>
    <row r="285" spans="2:13" x14ac:dyDescent="0.35">
      <c r="B285" s="3" t="str" cm="1">
        <f t="array" ref="B285">IF(SUM(COUNTIF($H285:$N285,{"*TOWN OF*","*CITY OF*"}))&gt;0,"✓","")</f>
        <v>✓</v>
      </c>
      <c r="C285" s="3" t="str">
        <f t="shared" si="4"/>
        <v/>
      </c>
      <c r="D285" t="s">
        <v>266</v>
      </c>
      <c r="E285" t="s">
        <v>6</v>
      </c>
      <c r="F285" s="3" t="s">
        <v>250</v>
      </c>
      <c r="G285" s="3">
        <v>13</v>
      </c>
      <c r="H285" t="str" cm="1">
        <f t="array" ref="H285:M285">IFERROR(
  _xlfn.LET(
    _xlpm.clean, _xlfn.LAMBDA(_xlpm.x, TRIM(SUBSTITUTE(_xlpm.x,CHAR(160)," "))),
    _xlpm.t, CLEAN($D285),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WALPOLE, TOWN OF - 4/1/2026</v>
      </c>
      <c r="I285" t="str">
        <v>WALPOLE, CITY OF</v>
      </c>
      <c r="J285" t="str">
        <v>EDUCATION COOPERATIVE - 4/13/2026</v>
      </c>
      <c r="K285" t="str">
        <v/>
      </c>
      <c r="L285" t="str">
        <v/>
      </c>
      <c r="M285" t="str">
        <v/>
      </c>
    </row>
    <row r="286" spans="2:13" x14ac:dyDescent="0.35">
      <c r="B286" s="3" t="str" cm="1">
        <f t="array" ref="B286">IF(SUM(COUNTIF($H286:$N286,{"*TOWN OF*","*CITY OF*"}))&gt;0,"✓","")</f>
        <v/>
      </c>
      <c r="C286" s="3" t="str">
        <f t="shared" si="4"/>
        <v>✓</v>
      </c>
      <c r="D286" t="s">
        <v>268</v>
      </c>
      <c r="E286" t="s">
        <v>5</v>
      </c>
      <c r="F286" s="3" t="s">
        <v>250</v>
      </c>
      <c r="G286" s="3">
        <v>13</v>
      </c>
      <c r="H286" t="str" cm="1">
        <f t="array" ref="H286:M286">IFERROR(
  _xlfn.LET(
    _xlpm.clean, _xlfn.LAMBDA(_xlpm.x, TRIM(SUBSTITUTE(_xlpm.x,CHAR(160)," "))),
    _xlpm.t, CLEAN($D286),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 spans="2:13" x14ac:dyDescent="0.35">
      <c r="B287" s="3" t="str" cm="1">
        <f t="array" ref="B287">IF(SUM(COUNTIF($H287:$N287,{"*TOWN OF*","*CITY OF*"}))&gt;0,"✓","")</f>
        <v>✓</v>
      </c>
      <c r="C287" s="3" t="str">
        <f t="shared" si="4"/>
        <v/>
      </c>
      <c r="D287" t="s">
        <v>269</v>
      </c>
      <c r="E287" t="s">
        <v>6</v>
      </c>
      <c r="F287" s="3" t="s">
        <v>250</v>
      </c>
      <c r="G287" s="3">
        <v>13</v>
      </c>
      <c r="H287" t="str" cm="1">
        <f t="array" ref="H287:M287">IFERROR(
  _xlfn.LET(
    _xlpm.clean, _xlfn.LAMBDA(_xlpm.x, TRIM(SUBSTITUTE(_xlpm.x,CHAR(160)," "))),
    _xlpm.t, CLEAN($D287),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WRENTHAM, TOWN OF</v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 spans="2:13" x14ac:dyDescent="0.35">
      <c r="B288" s="3" t="str" cm="1">
        <f t="array" ref="B288">IF(SUM(COUNTIF($H288:$N288,{"*TOWN OF*","*CITY OF*"}))&gt;0,"✓","")</f>
        <v>✓</v>
      </c>
      <c r="C288" s="3" t="str">
        <f t="shared" si="4"/>
        <v/>
      </c>
      <c r="D288" t="s">
        <v>227</v>
      </c>
      <c r="E288" t="s">
        <v>6</v>
      </c>
      <c r="F288" s="3" t="s">
        <v>362</v>
      </c>
      <c r="G288" s="3">
        <v>14</v>
      </c>
      <c r="H288" t="str" cm="1">
        <f t="array" ref="H288:M288">IFERROR(
  _xlfn.LET(
    _xlpm.clean, _xlfn.LAMBDA(_xlpm.x, TRIM(SUBSTITUTE(_xlpm.x,CHAR(160)," "))),
    _xlpm.t, CLEAN($D288),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ACUSHNET, TOWN OF</v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 spans="2:14" x14ac:dyDescent="0.35">
      <c r="B289" s="3" t="str" cm="1">
        <f t="array" ref="B289">IF(SUM(COUNTIF($H289:$N289,{"*TOWN OF*","*CITY OF*"}))&gt;0,"✓","")</f>
        <v/>
      </c>
      <c r="C289" s="3" t="str">
        <f t="shared" si="4"/>
        <v>✓</v>
      </c>
      <c r="D289" t="s">
        <v>228</v>
      </c>
      <c r="E289" t="s">
        <v>5</v>
      </c>
      <c r="F289" s="3" t="s">
        <v>362</v>
      </c>
      <c r="G289" s="3">
        <v>14</v>
      </c>
      <c r="H289" t="str" cm="1">
        <f t="array" ref="H289:M289">IFERROR(
  _xlfn.LET(
    _xlpm.clean, _xlfn.LAMBDA(_xlpm.x, TRIM(SUBSTITUTE(_xlpm.x,CHAR(160)," "))),
    _xlpm.t, CLEAN($D289),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 spans="2:14" s="6" customFormat="1" x14ac:dyDescent="0.35">
      <c r="B290" s="3" t="str" cm="1">
        <f t="array" ref="B290">IF(SUM(COUNTIF($H290:$N290,{"*TOWN OF*","*CITY OF*"}))&gt;0,"✓","")</f>
        <v/>
      </c>
      <c r="C290" s="3" t="str">
        <f t="shared" si="4"/>
        <v>✓</v>
      </c>
      <c r="D290" t="s">
        <v>230</v>
      </c>
      <c r="E290" t="s">
        <v>6</v>
      </c>
      <c r="F290" s="3" t="s">
        <v>362</v>
      </c>
      <c r="G290" s="3">
        <v>14</v>
      </c>
      <c r="H290" t="str" cm="1">
        <f t="array" ref="H290:M290">IFERROR(
  _xlfn.LET(
    _xlpm.clean, _xlfn.LAMBDA(_xlpm.x, TRIM(SUBSTITUTE(_xlpm.x,CHAR(160)," "))),
    _xlpm.t, CLEAN($D290),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/>
    </row>
    <row r="291" spans="2:14" x14ac:dyDescent="0.35">
      <c r="B291" s="3" t="str" cm="1">
        <f t="array" ref="B291">IF(SUM(COUNTIF($H291:$N291,{"*TOWN OF*","*CITY OF*"}))&gt;0,"✓","")</f>
        <v/>
      </c>
      <c r="C291" s="3" t="str">
        <f t="shared" si="4"/>
        <v>✓</v>
      </c>
      <c r="D291" t="s">
        <v>234</v>
      </c>
      <c r="E291" t="s">
        <v>6</v>
      </c>
      <c r="F291" s="3" t="s">
        <v>362</v>
      </c>
      <c r="G291" s="3">
        <v>14</v>
      </c>
      <c r="H291" t="str" cm="1">
        <f t="array" ref="H291:M291">IFERROR(
  _xlfn.LET(
    _xlpm.clean, _xlfn.LAMBDA(_xlpm.x, TRIM(SUBSTITUTE(_xlpm.x,CHAR(160)," "))),
    _xlpm.t, CLEAN($D291),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DARTMOUTH FIRE DISTRICT #3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 spans="2:14" x14ac:dyDescent="0.35">
      <c r="B292" s="3" t="str" cm="1">
        <f t="array" ref="B292">IF(SUM(COUNTIF($H292:$N292,{"*TOWN OF*","*CITY OF*"}))&gt;0,"✓","")</f>
        <v>✓</v>
      </c>
      <c r="C292" s="3" t="str">
        <f t="shared" si="4"/>
        <v/>
      </c>
      <c r="D292" t="s">
        <v>235</v>
      </c>
      <c r="E292" t="s">
        <v>6</v>
      </c>
      <c r="F292" s="3" t="s">
        <v>362</v>
      </c>
      <c r="G292" s="3">
        <v>14</v>
      </c>
      <c r="H292" t="str" cm="1">
        <f t="array" ref="H292:M292">IFERROR(
  _xlfn.LET(
    _xlpm.clean, _xlfn.LAMBDA(_xlpm.x, TRIM(SUBSTITUTE(_xlpm.x,CHAR(160)," "))),
    _xlpm.t, CLEAN($D292),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DIGHTON, TOWN OF</v>
      </c>
      <c r="I292" t="str">
        <v>DIGHTON WATER DISTRICT</v>
      </c>
      <c r="J292" t="str">
        <v/>
      </c>
      <c r="K292" t="str">
        <v/>
      </c>
      <c r="L292" t="str">
        <v/>
      </c>
      <c r="M292" t="str">
        <v/>
      </c>
    </row>
    <row r="293" spans="2:14" x14ac:dyDescent="0.35">
      <c r="B293" s="3" t="str" cm="1">
        <f t="array" ref="B293">IF(SUM(COUNTIF($H293:$N293,{"*TOWN OF*","*CITY OF*"}))&gt;0,"✓","")</f>
        <v>✓</v>
      </c>
      <c r="C293" s="3" t="str">
        <f t="shared" si="4"/>
        <v/>
      </c>
      <c r="D293" s="6" t="s">
        <v>236</v>
      </c>
      <c r="E293" s="6" t="s">
        <v>6</v>
      </c>
      <c r="F293" s="5" t="s">
        <v>362</v>
      </c>
      <c r="G293" s="3">
        <v>14</v>
      </c>
      <c r="H293" t="str" cm="1">
        <f t="array" ref="H293:M293">IFERROR(
  _xlfn.LET(
    _xlpm.clean, _xlfn.LAMBDA(_xlpm.x, TRIM(SUBSTITUTE(_xlpm.x,CHAR(160)," "))),
    _xlpm.t, CLEAN($D293),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EASTON, TOWN OF</v>
      </c>
      <c r="I293" s="6" t="str">
        <v/>
      </c>
      <c r="J293" s="6" t="str">
        <v/>
      </c>
      <c r="K293" s="6" t="str">
        <v/>
      </c>
      <c r="L293" s="6" t="str">
        <v/>
      </c>
      <c r="M293" s="6" t="str">
        <v/>
      </c>
      <c r="N293" s="6"/>
    </row>
    <row r="294" spans="2:14" x14ac:dyDescent="0.35">
      <c r="B294" s="3" t="str" cm="1">
        <f t="array" ref="B294">IF(SUM(COUNTIF($H294:$N294,{"*TOWN OF*","*CITY OF*"}))&gt;0,"✓","")</f>
        <v>✓</v>
      </c>
      <c r="C294" s="3" t="str">
        <f t="shared" si="4"/>
        <v/>
      </c>
      <c r="D294" t="s">
        <v>237</v>
      </c>
      <c r="E294" t="s">
        <v>6</v>
      </c>
      <c r="F294" s="3" t="s">
        <v>362</v>
      </c>
      <c r="G294" s="3">
        <v>14</v>
      </c>
      <c r="H294" t="str" cm="1">
        <f t="array" ref="H294:M294">IFERROR(
  _xlfn.LET(
    _xlpm.clean, _xlfn.LAMBDA(_xlpm.x, TRIM(SUBSTITUTE(_xlpm.x,CHAR(160)," "))),
    _xlpm.t, CLEAN($D294),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FAIRHAVEN, TOWN OF</v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 spans="2:14" x14ac:dyDescent="0.35">
      <c r="B295" s="3" t="str" cm="1">
        <f t="array" ref="B295">IF(SUM(COUNTIF($H295:$N295,{"*TOWN OF*","*CITY OF*"}))&gt;0,"✓","")</f>
        <v>✓</v>
      </c>
      <c r="C295" s="3" t="str">
        <f t="shared" si="4"/>
        <v/>
      </c>
      <c r="D295" t="s">
        <v>238</v>
      </c>
      <c r="E295" t="s">
        <v>5</v>
      </c>
      <c r="F295" s="3" t="s">
        <v>362</v>
      </c>
      <c r="G295" s="3">
        <v>14</v>
      </c>
      <c r="H295" t="str" cm="1">
        <f t="array" ref="H295:M295">IFERROR(
  _xlfn.LET(
    _xlpm.clean, _xlfn.LAMBDA(_xlpm.x, TRIM(SUBSTITUTE(_xlpm.x,CHAR(160)," "))),
    _xlpm.t, CLEAN($D295),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FALL RIVER, CITY OF</v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 spans="2:14" x14ac:dyDescent="0.35">
      <c r="B296" s="3" t="str" cm="1">
        <f t="array" ref="B296">IF(SUM(COUNTIF($H296:$N296,{"*TOWN OF*","*CITY OF*"}))&gt;0,"✓","")</f>
        <v>✓</v>
      </c>
      <c r="C296" s="3" t="str">
        <f t="shared" si="4"/>
        <v/>
      </c>
      <c r="D296" s="6" t="s">
        <v>241</v>
      </c>
      <c r="E296" s="6" t="s">
        <v>6</v>
      </c>
      <c r="F296" s="5" t="s">
        <v>362</v>
      </c>
      <c r="G296" s="3">
        <v>14</v>
      </c>
      <c r="H296" t="str" cm="1">
        <f t="array" ref="H296:M296">IFERROR(
  _xlfn.LET(
    _xlpm.clean, _xlfn.LAMBDA(_xlpm.x, TRIM(SUBSTITUTE(_xlpm.x,CHAR(160)," "))),
    _xlpm.t, CLEAN($D296),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FREETOWN, TOWN OF</v>
      </c>
      <c r="I296" s="6" t="str">
        <v/>
      </c>
      <c r="J296" s="6" t="str">
        <v/>
      </c>
      <c r="K296" s="6" t="str">
        <v/>
      </c>
      <c r="L296" s="6" t="str">
        <v/>
      </c>
      <c r="M296" s="6" t="str">
        <v/>
      </c>
      <c r="N296" s="6"/>
    </row>
    <row r="297" spans="2:14" x14ac:dyDescent="0.35">
      <c r="B297" s="3" t="str" cm="1">
        <f t="array" ref="B297">IF(SUM(COUNTIF($H297:$N297,{"*TOWN OF*","*CITY OF*"}))&gt;0,"✓","")</f>
        <v>✓</v>
      </c>
      <c r="C297" s="3" t="str">
        <f t="shared" si="4"/>
        <v/>
      </c>
      <c r="D297" t="s">
        <v>245</v>
      </c>
      <c r="E297" t="s">
        <v>6</v>
      </c>
      <c r="F297" s="3" t="s">
        <v>362</v>
      </c>
      <c r="G297" s="3">
        <v>14</v>
      </c>
      <c r="H297" t="str" cm="1">
        <f t="array" ref="H297:M297">IFERROR(
  _xlfn.LET(
    _xlpm.clean, _xlfn.LAMBDA(_xlpm.x, TRIM(SUBSTITUTE(_xlpm.x,CHAR(160)," "))),
    _xlpm.t, CLEAN($D297),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MANSFIELD, TOWN OF</v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 spans="2:14" x14ac:dyDescent="0.35">
      <c r="B298" s="3" t="str" cm="1">
        <f t="array" ref="B298">IF(SUM(COUNTIF($H298:$N298,{"*TOWN OF*","*CITY OF*"}))&gt;0,"✓","")</f>
        <v>✓</v>
      </c>
      <c r="C298" s="3" t="str">
        <f t="shared" si="4"/>
        <v/>
      </c>
      <c r="D298" t="s">
        <v>249</v>
      </c>
      <c r="E298" t="s">
        <v>5</v>
      </c>
      <c r="F298" s="3" t="s">
        <v>362</v>
      </c>
      <c r="G298" s="3">
        <v>14</v>
      </c>
      <c r="H298" t="str" cm="1">
        <f t="array" ref="H298:M298">IFERROR(
  _xlfn.LET(
    _xlpm.clean, _xlfn.LAMBDA(_xlpm.x, TRIM(SUBSTITUTE(_xlpm.x,CHAR(160)," "))),
    _xlpm.t, CLEAN($D298),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NEW BEDFORD, CITY OF</v>
      </c>
      <c r="I298" t="str">
        <v>GREATER NEW BEDFORD REGIONAL REFUSE DISTRICT</v>
      </c>
      <c r="J298" t="str">
        <v/>
      </c>
      <c r="K298" t="str">
        <v/>
      </c>
      <c r="L298" t="str">
        <v/>
      </c>
      <c r="M298" t="str">
        <v/>
      </c>
    </row>
    <row r="299" spans="2:14" x14ac:dyDescent="0.35">
      <c r="B299" s="3" t="str" cm="1">
        <f t="array" ref="B299">IF(SUM(COUNTIF($H299:$N299,{"*TOWN OF*","*CITY OF*"}))&gt;0,"✓","")</f>
        <v>✓</v>
      </c>
      <c r="C299" s="3" t="str">
        <f t="shared" si="4"/>
        <v/>
      </c>
      <c r="D299" t="s">
        <v>251</v>
      </c>
      <c r="E299" t="s">
        <v>5</v>
      </c>
      <c r="F299" s="3" t="s">
        <v>362</v>
      </c>
      <c r="G299" s="3">
        <v>14</v>
      </c>
      <c r="H299" t="str" cm="1">
        <f t="array" ref="H299:M299">IFERROR(
  _xlfn.LET(
    _xlpm.clean, _xlfn.LAMBDA(_xlpm.x, TRIM(SUBSTITUTE(_xlpm.x,CHAR(160)," "))),
    _xlpm.t, CLEAN($D299),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ATTLEBOROUGH, TOWN OF</v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 spans="2:14" x14ac:dyDescent="0.35">
      <c r="B300" s="3" t="str" cm="1">
        <f t="array" ref="B300">IF(SUM(COUNTIF($H300:$N300,{"*TOWN OF*","*CITY OF*"}))&gt;0,"✓","")</f>
        <v>✓</v>
      </c>
      <c r="C300" s="3" t="str">
        <f t="shared" si="4"/>
        <v/>
      </c>
      <c r="D300" t="s">
        <v>252</v>
      </c>
      <c r="E300" t="s">
        <v>6</v>
      </c>
      <c r="F300" s="3" t="s">
        <v>362</v>
      </c>
      <c r="G300" s="3">
        <v>14</v>
      </c>
      <c r="H300" t="str" cm="1">
        <f t="array" ref="H300:M300">IFERROR(
  _xlfn.LET(
    _xlpm.clean, _xlfn.LAMBDA(_xlpm.x, TRIM(SUBSTITUTE(_xlpm.x,CHAR(160)," "))),
    _xlpm.t, CLEAN($D300),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NORTON, TOWN OF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 spans="2:14" x14ac:dyDescent="0.35">
      <c r="B301" s="3" t="str" cm="1">
        <f t="array" ref="B301">IF(SUM(COUNTIF($H301:$N301,{"*TOWN OF*","*CITY OF*"}))&gt;0,"✓","")</f>
        <v>✓</v>
      </c>
      <c r="C301" s="3" t="str">
        <f t="shared" si="4"/>
        <v/>
      </c>
      <c r="D301" t="s">
        <v>254</v>
      </c>
      <c r="E301" t="s">
        <v>6</v>
      </c>
      <c r="F301" s="3" t="s">
        <v>250</v>
      </c>
      <c r="G301" s="3">
        <v>14</v>
      </c>
      <c r="H301" t="str" cm="1">
        <f t="array" ref="H301:M301">IFERROR(
  _xlfn.LET(
    _xlpm.clean, _xlfn.LAMBDA(_xlpm.x, TRIM(SUBSTITUTE(_xlpm.x,CHAR(160)," "))),
    _xlpm.t, CLEAN($D301),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PLAINVILLE, TOWN OF</v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 spans="2:14" x14ac:dyDescent="0.35">
      <c r="B302" s="3" t="str" cm="1">
        <f t="array" ref="B302">IF(SUM(COUNTIF($H302:$N302,{"*TOWN OF*","*CITY OF*"}))&gt;0,"✓","")</f>
        <v>✓</v>
      </c>
      <c r="C302" s="3" t="str">
        <f t="shared" si="4"/>
        <v/>
      </c>
      <c r="D302" t="s">
        <v>257</v>
      </c>
      <c r="E302" t="s">
        <v>6</v>
      </c>
      <c r="F302" s="3" t="s">
        <v>362</v>
      </c>
      <c r="G302" s="3">
        <v>14</v>
      </c>
      <c r="H302" t="str" cm="1">
        <f t="array" ref="H302:M302">IFERROR(
  _xlfn.LET(
    _xlpm.clean, _xlfn.LAMBDA(_xlpm.x, TRIM(SUBSTITUTE(_xlpm.x,CHAR(160)," "))),
    _xlpm.t, CLEAN($D302),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REHOBOTH, TOWN OF</v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 spans="2:14" x14ac:dyDescent="0.35">
      <c r="B303" s="3" t="str" cm="1">
        <f t="array" ref="B303">IF(SUM(COUNTIF($H303:$N303,{"*TOWN OF*","*CITY OF*"}))&gt;0,"✓","")</f>
        <v>✓</v>
      </c>
      <c r="C303" s="3" t="str">
        <f t="shared" si="4"/>
        <v/>
      </c>
      <c r="D303" t="s">
        <v>260</v>
      </c>
      <c r="E303" t="s">
        <v>6</v>
      </c>
      <c r="F303" s="3" t="s">
        <v>362</v>
      </c>
      <c r="G303" s="3">
        <v>14</v>
      </c>
      <c r="H303" t="str" cm="1">
        <f t="array" ref="H303:M303">IFERROR(
  _xlfn.LET(
    _xlpm.clean, _xlfn.LAMBDA(_xlpm.x, TRIM(SUBSTITUTE(_xlpm.x,CHAR(160)," "))),
    _xlpm.t, CLEAN($D303),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SEEKONK, TOWN OF - 4/16/2026</v>
      </c>
      <c r="I303" t="str">
        <v>SEEKONK WATER DISTRICT</v>
      </c>
      <c r="J303" t="str">
        <v/>
      </c>
      <c r="K303" t="str">
        <v/>
      </c>
      <c r="L303" t="str">
        <v/>
      </c>
      <c r="M303" t="str">
        <v/>
      </c>
    </row>
    <row r="304" spans="2:14" x14ac:dyDescent="0.35">
      <c r="B304" s="3" t="str" cm="1">
        <f t="array" ref="B304">IF(SUM(COUNTIF($H304:$N304,{"*TOWN OF*","*CITY OF*"}))&gt;0,"✓","")</f>
        <v>✓</v>
      </c>
      <c r="C304" s="3" t="str">
        <f t="shared" si="4"/>
        <v/>
      </c>
      <c r="D304" t="s">
        <v>262</v>
      </c>
      <c r="E304" t="s">
        <v>6</v>
      </c>
      <c r="F304" s="3" t="s">
        <v>362</v>
      </c>
      <c r="G304" s="3">
        <v>14</v>
      </c>
      <c r="H304" t="str" cm="1">
        <f t="array" ref="H304:M304">IFERROR(
  _xlfn.LET(
    _xlpm.clean, _xlfn.LAMBDA(_xlpm.x, TRIM(SUBSTITUTE(_xlpm.x,CHAR(160)," "))),
    _xlpm.t, CLEAN($D304),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SOMERSET, TOWN OF</v>
      </c>
      <c r="I304" t="str">
        <v>SOMERSET HEALTH PLAN GROUP</v>
      </c>
      <c r="J304" t="str">
        <v/>
      </c>
      <c r="K304" t="str">
        <v/>
      </c>
      <c r="L304" t="str">
        <v/>
      </c>
      <c r="M304" t="str">
        <v/>
      </c>
    </row>
    <row r="305" spans="2:14" x14ac:dyDescent="0.35">
      <c r="B305" s="3" t="str" cm="1">
        <f t="array" ref="B305">IF(SUM(COUNTIF($H305:$N305,{"*TOWN OF*","*CITY OF*"}))&gt;0,"✓","")</f>
        <v>✓</v>
      </c>
      <c r="C305" s="3" t="str">
        <f t="shared" si="4"/>
        <v/>
      </c>
      <c r="D305" t="s">
        <v>264</v>
      </c>
      <c r="E305" t="s">
        <v>6</v>
      </c>
      <c r="F305" s="3" t="s">
        <v>362</v>
      </c>
      <c r="G305" s="3">
        <v>14</v>
      </c>
      <c r="H305" t="str" cm="1">
        <f t="array" ref="H305:M305">IFERROR(
  _xlfn.LET(
    _xlpm.clean, _xlfn.LAMBDA(_xlpm.x, TRIM(SUBSTITUTE(_xlpm.x,CHAR(160)," "))),
    _xlpm.t, CLEAN($D305),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SWANSEA, TOWN OF</v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 spans="2:14" x14ac:dyDescent="0.35">
      <c r="B306" s="3" t="str" cm="1">
        <f t="array" ref="B306">IF(SUM(COUNTIF($H306:$N306,{"*TOWN OF*","*CITY OF*"}))&gt;0,"✓","")</f>
        <v>✓</v>
      </c>
      <c r="C306" s="3" t="str">
        <f t="shared" si="4"/>
        <v/>
      </c>
      <c r="D306" t="s">
        <v>265</v>
      </c>
      <c r="E306" t="s">
        <v>5</v>
      </c>
      <c r="F306" s="3" t="s">
        <v>362</v>
      </c>
      <c r="G306" s="3">
        <v>14</v>
      </c>
      <c r="H306" t="str" cm="1">
        <f t="array" ref="H306:M306">IFERROR(
  _xlfn.LET(
    _xlpm.clean, _xlfn.LAMBDA(_xlpm.x, TRIM(SUBSTITUTE(_xlpm.x,CHAR(160)," "))),
    _xlpm.t, CLEAN($D306),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TAUNTON, CITY OF</v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 spans="2:14" x14ac:dyDescent="0.35">
      <c r="B307" s="3" t="str" cm="1">
        <f t="array" ref="B307">IF(SUM(COUNTIF($H307:$N307,{"*TOWN OF*","*CITY OF*"}))&gt;0,"✓","")</f>
        <v>✓</v>
      </c>
      <c r="C307" s="3" t="str">
        <f t="shared" si="4"/>
        <v/>
      </c>
      <c r="D307" t="s">
        <v>267</v>
      </c>
      <c r="E307" t="s">
        <v>6</v>
      </c>
      <c r="F307" s="3" t="s">
        <v>362</v>
      </c>
      <c r="G307" s="3">
        <v>14</v>
      </c>
      <c r="H307" t="str" cm="1">
        <f t="array" ref="H307:M307">IFERROR(
  _xlfn.LET(
    _xlpm.clean, _xlfn.LAMBDA(_xlpm.x, TRIM(SUBSTITUTE(_xlpm.x,CHAR(160)," "))),
    _xlpm.t, CLEAN($D307),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WESTPORT, TOWN OF</v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 spans="2:14" x14ac:dyDescent="0.35">
      <c r="B308" s="3" t="str" cm="1">
        <f t="array" ref="B308">IF(SUM(COUNTIF($H308:$N308,{"*TOWN OF*","*CITY OF*"}))&gt;0,"✓","")</f>
        <v>✓</v>
      </c>
      <c r="C308" s="3" t="str">
        <f t="shared" si="4"/>
        <v/>
      </c>
      <c r="D308" t="s">
        <v>256</v>
      </c>
      <c r="E308" t="s">
        <v>6</v>
      </c>
      <c r="F308" s="3" t="s">
        <v>362</v>
      </c>
      <c r="G308" s="3">
        <v>14</v>
      </c>
      <c r="H308" t="str" cm="1">
        <f t="array" ref="H308:M308">IFERROR(
  _xlfn.LET(
    _xlpm.clean, _xlfn.LAMBDA(_xlpm.x, TRIM(SUBSTITUTE(_xlpm.x,CHAR(160)," "))),
    _xlpm.t, CLEAN($D308),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RAYNHAM, TOWN OF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 spans="2:14" x14ac:dyDescent="0.35">
      <c r="B309" s="3" t="str" cm="1">
        <f t="array" ref="B309">IF(SUM(COUNTIF($H309:$N309,{"*TOWN OF*","*CITY OF*"}))&gt;0,"✓","")</f>
        <v>✓</v>
      </c>
      <c r="C309" s="3" t="str">
        <f t="shared" si="4"/>
        <v/>
      </c>
      <c r="D309" t="s">
        <v>57</v>
      </c>
      <c r="E309" t="s">
        <v>5</v>
      </c>
      <c r="F309" s="3" t="s">
        <v>83</v>
      </c>
      <c r="G309" s="3">
        <v>15</v>
      </c>
      <c r="H309" t="str" cm="1">
        <f t="array" ref="H309:M309">IFERROR(
  _xlfn.LET(
    _xlpm.clean, _xlfn.LAMBDA(_xlpm.x, TRIM(SUBSTITUTE(_xlpm.x,CHAR(160)," "))),
    _xlpm.t, CLEAN($D309),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BRIDGEWATER-RAYNHAM RSD</v>
      </c>
      <c r="I309" t="str">
        <v>BRIDGEWATER, TOWN OF - 3/26/2026</v>
      </c>
      <c r="J309" t="str">
        <v/>
      </c>
      <c r="K309" t="str">
        <v/>
      </c>
      <c r="L309" t="str">
        <v/>
      </c>
      <c r="M309" t="str">
        <v/>
      </c>
    </row>
    <row r="310" spans="2:14" x14ac:dyDescent="0.35">
      <c r="B310" s="3" t="str" cm="1">
        <f t="array" ref="B310">IF(SUM(COUNTIF($H310:$N310,{"*TOWN OF*","*CITY OF*"}))&gt;0,"✓","")</f>
        <v/>
      </c>
      <c r="C310" s="3" t="str">
        <f t="shared" si="4"/>
        <v>✓</v>
      </c>
      <c r="D310" t="s">
        <v>58</v>
      </c>
      <c r="E310" t="s">
        <v>5</v>
      </c>
      <c r="F310" s="3" t="s">
        <v>83</v>
      </c>
      <c r="G310" s="3">
        <v>15</v>
      </c>
      <c r="H310" t="str" cm="1">
        <f t="array" ref="H310:M310">IFERROR(
  _xlfn.LET(
    _xlpm.clean, _xlfn.LAMBDA(_xlpm.x, TRIM(SUBSTITUTE(_xlpm.x,CHAR(160)," "))),
    _xlpm.t, CLEAN($D310),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 spans="2:14" x14ac:dyDescent="0.35">
      <c r="B311" s="3" t="str" cm="1">
        <f t="array" ref="B311">IF(SUM(COUNTIF($H311:$N311,{"*TOWN OF*","*CITY OF*"}))&gt;0,"✓","")</f>
        <v>✓</v>
      </c>
      <c r="C311" s="3" t="str">
        <f t="shared" si="4"/>
        <v/>
      </c>
      <c r="D311" t="s">
        <v>59</v>
      </c>
      <c r="E311" t="s">
        <v>6</v>
      </c>
      <c r="F311" s="3" t="s">
        <v>83</v>
      </c>
      <c r="G311" s="3">
        <v>15</v>
      </c>
      <c r="H311" t="str" cm="1">
        <f t="array" ref="H311:M311">IFERROR(
  _xlfn.LET(
    _xlpm.clean, _xlfn.LAMBDA(_xlpm.x, TRIM(SUBSTITUTE(_xlpm.x,CHAR(160)," "))),
    _xlpm.t, CLEAN($D311),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CARVER, TOWN OF</v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 spans="2:14" x14ac:dyDescent="0.35">
      <c r="B312" s="3" t="str" cm="1">
        <f t="array" ref="B312">IF(SUM(COUNTIF($H312:$N312,{"*TOWN OF*","*CITY OF*"}))&gt;0,"✓","")</f>
        <v>✓</v>
      </c>
      <c r="C312" s="3" t="str">
        <f t="shared" si="4"/>
        <v/>
      </c>
      <c r="D312" t="s">
        <v>63</v>
      </c>
      <c r="E312" t="s">
        <v>6</v>
      </c>
      <c r="F312" s="3" t="s">
        <v>83</v>
      </c>
      <c r="G312" s="3">
        <v>15</v>
      </c>
      <c r="H312" t="str" cm="1">
        <f t="array" ref="H312:M312">IFERROR(
  _xlfn.LET(
    _xlpm.clean, _xlfn.LAMBDA(_xlpm.x, TRIM(SUBSTITUTE(_xlpm.x,CHAR(160)," "))),
    _xlpm.t, CLEAN($D312),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DUXBURY, TOWN OF</v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 spans="2:14" s="6" customFormat="1" x14ac:dyDescent="0.35">
      <c r="B313" s="3" t="str" cm="1">
        <f t="array" ref="B313">IF(SUM(COUNTIF($H313:$N313,{"*TOWN OF*","*CITY OF*"}))&gt;0,"✓","")</f>
        <v>✓</v>
      </c>
      <c r="C313" s="3" t="str">
        <f t="shared" si="4"/>
        <v/>
      </c>
      <c r="D313" t="s">
        <v>64</v>
      </c>
      <c r="E313" t="s">
        <v>6</v>
      </c>
      <c r="F313" s="3" t="s">
        <v>83</v>
      </c>
      <c r="G313" s="3">
        <v>15</v>
      </c>
      <c r="H313" t="str" cm="1">
        <f t="array" ref="H313:M313">IFERROR(
  _xlfn.LET(
    _xlpm.clean, _xlfn.LAMBDA(_xlpm.x, TRIM(SUBSTITUTE(_xlpm.x,CHAR(160)," "))),
    _xlpm.t, CLEAN($D313),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EAST BRIDGEWATER, TOWN OF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/>
    </row>
    <row r="314" spans="2:14" x14ac:dyDescent="0.35">
      <c r="B314" s="3" t="str" cm="1">
        <f t="array" ref="B314">IF(SUM(COUNTIF($H314:$N314,{"*TOWN OF*","*CITY OF*"}))&gt;0,"✓","")</f>
        <v>✓</v>
      </c>
      <c r="C314" s="3" t="str">
        <f t="shared" si="4"/>
        <v/>
      </c>
      <c r="D314" t="s">
        <v>69</v>
      </c>
      <c r="E314" t="s">
        <v>6</v>
      </c>
      <c r="F314" s="3" t="s">
        <v>83</v>
      </c>
      <c r="G314" s="3">
        <v>15</v>
      </c>
      <c r="H314" t="str" cm="1">
        <f t="array" ref="H314:M314">IFERROR(
  _xlfn.LET(
    _xlpm.clean, _xlfn.LAMBDA(_xlpm.x, TRIM(SUBSTITUTE(_xlpm.x,CHAR(160)," "))),
    _xlpm.t, CLEAN($D314),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HALIFAX, TOWN OF</v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 spans="2:14" x14ac:dyDescent="0.35">
      <c r="B315" s="3" t="str" cm="1">
        <f t="array" ref="B315">IF(SUM(COUNTIF($H315:$N315,{"*TOWN OF*","*CITY OF*"}))&gt;0,"✓","")</f>
        <v>✓</v>
      </c>
      <c r="C315" s="3" t="str">
        <f t="shared" si="4"/>
        <v/>
      </c>
      <c r="D315" t="s">
        <v>70</v>
      </c>
      <c r="E315" t="s">
        <v>6</v>
      </c>
      <c r="F315" s="3" t="s">
        <v>83</v>
      </c>
      <c r="G315" s="3">
        <v>15</v>
      </c>
      <c r="H315" t="str" cm="1">
        <f t="array" ref="H315:M315">IFERROR(
  _xlfn.LET(
    _xlpm.clean, _xlfn.LAMBDA(_xlpm.x, TRIM(SUBSTITUTE(_xlpm.x,CHAR(160)," "))),
    _xlpm.t, CLEAN($D315),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HANOVER, TOWN OF</v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 spans="2:14" x14ac:dyDescent="0.35">
      <c r="B316" s="3" t="str" cm="1">
        <f t="array" ref="B316">IF(SUM(COUNTIF($H316:$N316,{"*TOWN OF*","*CITY OF*"}))&gt;0,"✓","")</f>
        <v>✓</v>
      </c>
      <c r="C316" s="3" t="str">
        <f t="shared" si="4"/>
        <v/>
      </c>
      <c r="D316" t="s">
        <v>71</v>
      </c>
      <c r="E316" t="s">
        <v>6</v>
      </c>
      <c r="F316" s="3" t="s">
        <v>83</v>
      </c>
      <c r="G316" s="3">
        <v>15</v>
      </c>
      <c r="H316" t="str" cm="1">
        <f t="array" ref="H316:M316">IFERROR(
  _xlfn.LET(
    _xlpm.clean, _xlfn.LAMBDA(_xlpm.x, TRIM(SUBSTITUTE(_xlpm.x,CHAR(160)," "))),
    _xlpm.t, CLEAN($D316),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HANSON, TOWN OF</v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 spans="2:14" x14ac:dyDescent="0.35">
      <c r="B317" s="3" t="str" cm="1">
        <f t="array" ref="B317">IF(SUM(COUNTIF($H317:$N317,{"*TOWN OF*","*CITY OF*"}))&gt;0,"✓","")</f>
        <v/>
      </c>
      <c r="C317" s="3" t="str">
        <f t="shared" si="4"/>
        <v>✓</v>
      </c>
      <c r="D317" t="s">
        <v>73</v>
      </c>
      <c r="E317" t="s">
        <v>6</v>
      </c>
      <c r="F317" s="3" t="s">
        <v>83</v>
      </c>
      <c r="G317" s="3">
        <v>15</v>
      </c>
      <c r="H317" t="str" cm="1">
        <f t="array" ref="H317:M317">IFERROR(
  _xlfn.LET(
    _xlpm.clean, _xlfn.LAMBDA(_xlpm.x, TRIM(SUBSTITUTE(_xlpm.x,CHAR(160)," "))),
    _xlpm.t, CLEAN($D317),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SILVER LAKE RSD</v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 spans="2:14" x14ac:dyDescent="0.35">
      <c r="B318" s="3" t="str" cm="1">
        <f t="array" ref="B318">IF(SUM(COUNTIF($H318:$N318,{"*TOWN OF*","*CITY OF*"}))&gt;0,"✓","")</f>
        <v/>
      </c>
      <c r="C318" s="3" t="str">
        <f t="shared" si="4"/>
        <v>✓</v>
      </c>
      <c r="D318" t="s">
        <v>74</v>
      </c>
      <c r="E318" t="s">
        <v>6</v>
      </c>
      <c r="F318" s="3" t="s">
        <v>83</v>
      </c>
      <c r="G318" s="3">
        <v>15</v>
      </c>
      <c r="H318" t="str" cm="1">
        <f t="array" ref="H318:M318">IFERROR(
  _xlfn.LET(
    _xlpm.clean, _xlfn.LAMBDA(_xlpm.x, TRIM(SUBSTITUTE(_xlpm.x,CHAR(160)," "))),
    _xlpm.t, CLEAN($D318),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 spans="2:14" x14ac:dyDescent="0.35">
      <c r="B319" s="3" t="str" cm="1">
        <f t="array" ref="B319">IF(SUM(COUNTIF($H319:$N319,{"*TOWN OF*","*CITY OF*"}))&gt;0,"✓","")</f>
        <v>✓</v>
      </c>
      <c r="C319" s="3" t="str">
        <f t="shared" si="4"/>
        <v/>
      </c>
      <c r="D319" t="s">
        <v>75</v>
      </c>
      <c r="E319" t="s">
        <v>6</v>
      </c>
      <c r="F319" s="3" t="s">
        <v>83</v>
      </c>
      <c r="G319" s="3">
        <v>15</v>
      </c>
      <c r="H319" t="str" cm="1">
        <f t="array" ref="H319:M319">IFERROR(
  _xlfn.LET(
    _xlpm.clean, _xlfn.LAMBDA(_xlpm.x, TRIM(SUBSTITUTE(_xlpm.x,CHAR(160)," "))),
    _xlpm.t, CLEAN($D319),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MARION, TOWN OF</v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 spans="2:14" x14ac:dyDescent="0.35">
      <c r="B320" s="3" t="str" cm="1">
        <f t="array" ref="B320">IF(SUM(COUNTIF($H320:$N320,{"*TOWN OF*","*CITY OF*"}))&gt;0,"✓","")</f>
        <v>✓</v>
      </c>
      <c r="C320" s="3" t="str">
        <f t="shared" si="4"/>
        <v/>
      </c>
      <c r="D320" t="s">
        <v>77</v>
      </c>
      <c r="E320" t="s">
        <v>6</v>
      </c>
      <c r="F320" s="3" t="s">
        <v>83</v>
      </c>
      <c r="G320" s="3">
        <v>15</v>
      </c>
      <c r="H320" t="str" cm="1">
        <f t="array" ref="H320:M320">IFERROR(
  _xlfn.LET(
    _xlpm.clean, _xlfn.LAMBDA(_xlpm.x, TRIM(SUBSTITUTE(_xlpm.x,CHAR(160)," "))),
    _xlpm.t, CLEAN($D320),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MATTAPOISETT, TOWN OF</v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 spans="2:14" x14ac:dyDescent="0.35">
      <c r="B321" s="3" t="str" cm="1">
        <f t="array" ref="B321">IF(SUM(COUNTIF($H321:$N321,{"*TOWN OF*","*CITY OF*"}))&gt;0,"✓","")</f>
        <v>✓</v>
      </c>
      <c r="C321" s="3" t="str">
        <f t="shared" si="4"/>
        <v/>
      </c>
      <c r="D321" s="6" t="s">
        <v>78</v>
      </c>
      <c r="E321" s="6" t="s">
        <v>6</v>
      </c>
      <c r="F321" s="5" t="s">
        <v>83</v>
      </c>
      <c r="G321" s="3">
        <v>15</v>
      </c>
      <c r="H321" t="str" cm="1">
        <f t="array" ref="H321:M321">IFERROR(
  _xlfn.LET(
    _xlpm.clean, _xlfn.LAMBDA(_xlpm.x, TRIM(SUBSTITUTE(_xlpm.x,CHAR(160)," "))),
    _xlpm.t, CLEAN($D321),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MIDDLEBOROUGH, TOWN OF</v>
      </c>
      <c r="I321" s="6" t="str">
        <v/>
      </c>
      <c r="J321" s="6" t="str">
        <v/>
      </c>
      <c r="K321" s="6" t="str">
        <v/>
      </c>
      <c r="L321" s="6" t="str">
        <v/>
      </c>
      <c r="M321" s="6" t="str">
        <v/>
      </c>
      <c r="N321" s="6"/>
    </row>
    <row r="322" spans="2:14" x14ac:dyDescent="0.35">
      <c r="B322" s="3" t="str" cm="1">
        <f t="array" ref="B322">IF(SUM(COUNTIF($H322:$N322,{"*TOWN OF*","*CITY OF*"}))&gt;0,"✓","")</f>
        <v>✓</v>
      </c>
      <c r="C322" s="3" t="str">
        <f t="shared" si="4"/>
        <v/>
      </c>
      <c r="D322" t="s">
        <v>82</v>
      </c>
      <c r="E322" t="s">
        <v>6</v>
      </c>
      <c r="F322" s="3" t="s">
        <v>83</v>
      </c>
      <c r="G322" s="3">
        <v>15</v>
      </c>
      <c r="H322" t="str" cm="1">
        <f t="array" ref="H322:M322">IFERROR(
  _xlfn.LET(
    _xlpm.clean, _xlfn.LAMBDA(_xlpm.x, TRIM(SUBSTITUTE(_xlpm.x,CHAR(160)," "))),
    _xlpm.t, CLEAN($D322),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PEMBROKE, TOWN OF</v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 spans="2:14" x14ac:dyDescent="0.35">
      <c r="B323" s="3" t="str" cm="1">
        <f t="array" ref="B323">IF(SUM(COUNTIF($H323:$N323,{"*TOWN OF*","*CITY OF*"}))&gt;0,"✓","")</f>
        <v/>
      </c>
      <c r="C323" s="3" t="str">
        <f t="shared" ref="C323:C352" si="5">IF(AND($B323="",COUNTA($H323:$N323)&gt;0),"✓","")</f>
        <v>✓</v>
      </c>
      <c r="D323" s="6" t="s">
        <v>83</v>
      </c>
      <c r="E323" s="6" t="s">
        <v>6</v>
      </c>
      <c r="F323" s="5" t="s">
        <v>83</v>
      </c>
      <c r="G323" s="3">
        <v>15</v>
      </c>
      <c r="H323" t="str" cm="1">
        <f t="array" ref="H323:M323">IFERROR(
  _xlfn.LET(
    _xlpm.clean, _xlfn.LAMBDA(_xlpm.x, TRIM(SUBSTITUTE(_xlpm.x,CHAR(160)," "))),
    _xlpm.t, CLEAN($D323),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23" s="6" t="str">
        <v/>
      </c>
      <c r="J323" s="6" t="str">
        <v/>
      </c>
      <c r="K323" s="6" t="str">
        <v/>
      </c>
      <c r="L323" s="6" t="str">
        <v/>
      </c>
      <c r="M323" s="6" t="str">
        <v/>
      </c>
      <c r="N323" s="6"/>
    </row>
    <row r="324" spans="2:14" x14ac:dyDescent="0.35">
      <c r="B324" s="3" t="str" cm="1">
        <f t="array" ref="B324">IF(SUM(COUNTIF($H324:$N324,{"*TOWN OF*","*CITY OF*"}))&gt;0,"✓","")</f>
        <v>✓</v>
      </c>
      <c r="C324" s="3" t="str">
        <f t="shared" si="5"/>
        <v/>
      </c>
      <c r="D324" t="s">
        <v>84</v>
      </c>
      <c r="E324" t="s">
        <v>6</v>
      </c>
      <c r="F324" s="3" t="s">
        <v>83</v>
      </c>
      <c r="G324" s="3">
        <v>15</v>
      </c>
      <c r="H324" t="str" cm="1">
        <f t="array" ref="H324:M324">IFERROR(
  _xlfn.LET(
    _xlpm.clean, _xlfn.LAMBDA(_xlpm.x, TRIM(SUBSTITUTE(_xlpm.x,CHAR(160)," "))),
    _xlpm.t, CLEAN($D324),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PLYMPTON, TOWN OF</v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 spans="2:14" x14ac:dyDescent="0.35">
      <c r="B325" s="3" t="str" cm="1">
        <f t="array" ref="B325">IF(SUM(COUNTIF($H325:$N325,{"*TOWN OF*","*CITY OF*"}))&gt;0,"✓","")</f>
        <v>✓</v>
      </c>
      <c r="C325" s="3" t="str">
        <f t="shared" si="5"/>
        <v/>
      </c>
      <c r="D325" t="s">
        <v>86</v>
      </c>
      <c r="E325" t="s">
        <v>6</v>
      </c>
      <c r="F325" s="3" t="s">
        <v>83</v>
      </c>
      <c r="G325" s="3">
        <v>15</v>
      </c>
      <c r="H325" t="str" cm="1">
        <f t="array" ref="H325:M325">IFERROR(
  _xlfn.LET(
    _xlpm.clean, _xlfn.LAMBDA(_xlpm.x, TRIM(SUBSTITUTE(_xlpm.x,CHAR(160)," "))),
    _xlpm.t, CLEAN($D325),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ROCHESTER, TOWN OF</v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 spans="2:14" x14ac:dyDescent="0.35">
      <c r="B326" s="3" t="str" cm="1">
        <f t="array" ref="B326">IF(SUM(COUNTIF($H326:$N326,{"*TOWN OF*","*CITY OF*"}))&gt;0,"✓","")</f>
        <v/>
      </c>
      <c r="C326" s="3" t="str">
        <f t="shared" si="5"/>
        <v>✓</v>
      </c>
      <c r="D326" t="s">
        <v>90</v>
      </c>
      <c r="E326" t="s">
        <v>6</v>
      </c>
      <c r="F326" s="3" t="s">
        <v>83</v>
      </c>
      <c r="G326" s="3">
        <v>15</v>
      </c>
      <c r="H326" t="str" cm="1">
        <f t="array" ref="H326:M326">IFERROR(
  _xlfn.LET(
    _xlpm.clean, _xlfn.LAMBDA(_xlpm.x, TRIM(SUBSTITUTE(_xlpm.x,CHAR(160)," "))),
    _xlpm.t, CLEAN($D326),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ONSET FIRE DISTRICT</v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 spans="2:14" x14ac:dyDescent="0.35">
      <c r="B327" s="3" t="str" cm="1">
        <f t="array" ref="B327">IF(SUM(COUNTIF($H327:$N327,{"*TOWN OF*","*CITY OF*"}))&gt;0,"✓","")</f>
        <v>✓</v>
      </c>
      <c r="C327" s="3" t="str">
        <f t="shared" si="5"/>
        <v/>
      </c>
      <c r="D327" t="s">
        <v>92</v>
      </c>
      <c r="E327" t="s">
        <v>6</v>
      </c>
      <c r="F327" s="3" t="s">
        <v>83</v>
      </c>
      <c r="G327" s="3">
        <v>15</v>
      </c>
      <c r="H327" t="str" cm="1">
        <f t="array" ref="H327:M327">IFERROR(
  _xlfn.LET(
    _xlpm.clean, _xlfn.LAMBDA(_xlpm.x, TRIM(SUBSTITUTE(_xlpm.x,CHAR(160)," "))),
    _xlpm.t, CLEAN($D327),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WEST BRIDGEWATER, TOWN OF</v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 spans="2:14" x14ac:dyDescent="0.35">
      <c r="B328" s="3" t="str" cm="1">
        <f t="array" ref="B328">IF(SUM(COUNTIF($H328:$N328,{"*TOWN OF*","*CITY OF*"}))&gt;0,"✓","")</f>
        <v>✓</v>
      </c>
      <c r="C328" s="3" t="str">
        <f t="shared" si="5"/>
        <v/>
      </c>
      <c r="D328" t="s">
        <v>94</v>
      </c>
      <c r="E328" t="s">
        <v>6</v>
      </c>
      <c r="F328" s="3" t="s">
        <v>83</v>
      </c>
      <c r="G328" s="3">
        <v>15</v>
      </c>
      <c r="H328" t="str" cm="1">
        <f t="array" ref="H328:M328">IFERROR(
  _xlfn.LET(
    _xlpm.clean, _xlfn.LAMBDA(_xlpm.x, TRIM(SUBSTITUTE(_xlpm.x,CHAR(160)," "))),
    _xlpm.t, CLEAN($D328),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WHITMAN-HANSON RSD</v>
      </c>
      <c r="I328" t="str">
        <v>WHITMAN, TOWN OF - 2/10/2026</v>
      </c>
      <c r="J328" t="str">
        <v>FIRST CONGREGATIONAL CHURCH OF WHITMAN - 2/9/2026</v>
      </c>
      <c r="K328" t="str">
        <v/>
      </c>
      <c r="L328" t="str">
        <v/>
      </c>
      <c r="M328" t="str">
        <v/>
      </c>
    </row>
    <row r="329" spans="2:14" x14ac:dyDescent="0.35">
      <c r="B329" s="3" t="str" cm="1">
        <f t="array" ref="B329">IF(SUM(COUNTIF($H329:$N329,{"*TOWN OF*","*CITY OF*"}))&gt;0,"✓","")</f>
        <v>✓</v>
      </c>
      <c r="C329" s="3" t="str">
        <f t="shared" si="5"/>
        <v/>
      </c>
      <c r="D329" t="s">
        <v>246</v>
      </c>
      <c r="E329" t="s">
        <v>6</v>
      </c>
      <c r="F329" s="3" t="s">
        <v>83</v>
      </c>
      <c r="G329" s="3">
        <v>15</v>
      </c>
      <c r="H329" t="str" cm="1">
        <f t="array" ref="H329:M329">IFERROR(
  _xlfn.LET(
    _xlpm.clean, _xlfn.LAMBDA(_xlpm.x, TRIM(SUBSTITUTE(_xlpm.x,CHAR(160)," "))),
    _xlpm.t, CLEAN($D329),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MARSHFIELD, TOWN OF</v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 spans="2:14" x14ac:dyDescent="0.35">
      <c r="B330" s="3" t="str" cm="1">
        <f t="array" ref="B330">IF(SUM(COUNTIF($H330:$N330,{"*TOWN OF*","*CITY OF*"}))&gt;0,"✓","")</f>
        <v/>
      </c>
      <c r="C330" s="3" t="str">
        <f t="shared" si="5"/>
        <v>✓</v>
      </c>
      <c r="D330" t="s">
        <v>53</v>
      </c>
      <c r="E330" t="s">
        <v>6</v>
      </c>
      <c r="F330" s="3" t="s">
        <v>359</v>
      </c>
      <c r="G330" s="3">
        <v>16</v>
      </c>
      <c r="H330" t="str" cm="1">
        <f t="array" ref="H330:M330">IFERROR(
  _xlfn.LET(
    _xlpm.clean, _xlfn.LAMBDA(_xlpm.x, TRIM(SUBSTITUTE(_xlpm.x,CHAR(160)," "))),
    _xlpm.t, CLEAN($D330),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 spans="2:14" x14ac:dyDescent="0.35">
      <c r="B331" s="3" t="str" cm="1">
        <f t="array" ref="B331">IF(SUM(COUNTIF($H331:$N331,{"*TOWN OF*","*CITY OF*"}))&gt;0,"✓","")</f>
        <v>✓</v>
      </c>
      <c r="C331" s="3" t="str">
        <f t="shared" si="5"/>
        <v/>
      </c>
      <c r="D331" t="s">
        <v>54</v>
      </c>
      <c r="E331" t="s">
        <v>5</v>
      </c>
      <c r="F331" s="3" t="s">
        <v>54</v>
      </c>
      <c r="G331" s="3">
        <v>16</v>
      </c>
      <c r="H331" t="str" cm="1">
        <f t="array" ref="H331:M331">IFERROR(
  _xlfn.LET(
    _xlpm.clean, _xlfn.LAMBDA(_xlpm.x, TRIM(SUBSTITUTE(_xlpm.x,CHAR(160)," "))),
    _xlpm.t, CLEAN($D331),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HYANNIS FIRE DISTRICT</v>
      </c>
      <c r="I331" t="str">
        <v>COMM FIRE DISTRICT</v>
      </c>
      <c r="J331" t="str">
        <v>BARNSTABLE, TOWN OF</v>
      </c>
      <c r="K331" t="str">
        <v>BARNSTABLE FIRE DISTRICT - 4/2/2026</v>
      </c>
      <c r="L331" t="str">
        <v/>
      </c>
      <c r="M331" t="str">
        <v/>
      </c>
    </row>
    <row r="332" spans="2:14" s="6" customFormat="1" x14ac:dyDescent="0.35">
      <c r="B332" s="3" t="str" cm="1">
        <f t="array" ref="B332">IF(SUM(COUNTIF($H332:$N332,{"*TOWN OF*","*CITY OF*"}))&gt;0,"✓","")</f>
        <v/>
      </c>
      <c r="C332" s="3" t="str">
        <f t="shared" si="5"/>
        <v>✓</v>
      </c>
      <c r="D332" t="s">
        <v>55</v>
      </c>
      <c r="E332" t="s">
        <v>6</v>
      </c>
      <c r="F332" s="3" t="s">
        <v>54</v>
      </c>
      <c r="G332" s="3">
        <v>16</v>
      </c>
      <c r="H332" t="str" cm="1">
        <f t="array" ref="H332:M332">IFERROR(
  _xlfn.LET(
    _xlpm.clean, _xlfn.LAMBDA(_xlpm.x, TRIM(SUBSTITUTE(_xlpm.x,CHAR(160)," "))),
    _xlpm.t, CLEAN($D332),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NORTH SAGAMORE WATER DISTRICT</v>
      </c>
      <c r="I332" t="str">
        <v>BUZZARDS BAY WATER DISTRICT</v>
      </c>
      <c r="J332" t="str">
        <v>BOURNE WATER DISTRICT</v>
      </c>
      <c r="K332" t="str">
        <v/>
      </c>
      <c r="L332" t="str">
        <v/>
      </c>
      <c r="M332" t="str">
        <v/>
      </c>
      <c r="N332"/>
    </row>
    <row r="333" spans="2:14" x14ac:dyDescent="0.35">
      <c r="B333" s="3" t="str" cm="1">
        <f t="array" ref="B333">IF(SUM(COUNTIF($H333:$N333,{"*TOWN OF*","*CITY OF*"}))&gt;0,"✓","")</f>
        <v/>
      </c>
      <c r="C333" s="3" t="str">
        <f t="shared" si="5"/>
        <v>✓</v>
      </c>
      <c r="D333" t="s">
        <v>56</v>
      </c>
      <c r="E333" t="s">
        <v>6</v>
      </c>
      <c r="F333" s="3" t="s">
        <v>54</v>
      </c>
      <c r="G333" s="3">
        <v>16</v>
      </c>
      <c r="H333" t="str" cm="1">
        <f t="array" ref="H333:M333">IFERROR(
  _xlfn.LET(
    _xlpm.clean, _xlfn.LAMBDA(_xlpm.x, TRIM(SUBSTITUTE(_xlpm.x,CHAR(160)," "))),
    _xlpm.t, CLEAN($D333),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 spans="2:14" x14ac:dyDescent="0.35">
      <c r="B334" s="3" t="str" cm="1">
        <f t="array" ref="B334">IF(SUM(COUNTIF($H334:$N334,{"*TOWN OF*","*CITY OF*"}))&gt;0,"✓","")</f>
        <v>✓</v>
      </c>
      <c r="C334" s="3" t="str">
        <f t="shared" si="5"/>
        <v/>
      </c>
      <c r="D334" t="s">
        <v>60</v>
      </c>
      <c r="E334" t="s">
        <v>6</v>
      </c>
      <c r="F334" s="3" t="s">
        <v>54</v>
      </c>
      <c r="G334" s="3">
        <v>16</v>
      </c>
      <c r="H334" t="str" cm="1">
        <f t="array" ref="H334:M334">IFERROR(
  _xlfn.LET(
    _xlpm.clean, _xlfn.LAMBDA(_xlpm.x, TRIM(SUBSTITUTE(_xlpm.x,CHAR(160)," "))),
    _xlpm.t, CLEAN($D334),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CHATHAM, TOWN OF</v>
      </c>
      <c r="I334" t="str">
        <v>CHATHAM OPEB COMMITTEE</v>
      </c>
      <c r="J334" t="str">
        <v/>
      </c>
      <c r="K334" t="str">
        <v/>
      </c>
      <c r="L334" t="str">
        <v/>
      </c>
      <c r="M334" t="str">
        <v/>
      </c>
    </row>
    <row r="335" spans="2:14" x14ac:dyDescent="0.35">
      <c r="B335" s="3" t="str" cm="1">
        <f t="array" ref="B335">IF(SUM(COUNTIF($H335:$N335,{"*TOWN OF*","*CITY OF*"}))&gt;0,"✓","")</f>
        <v>✓</v>
      </c>
      <c r="C335" s="3" t="str">
        <f t="shared" si="5"/>
        <v/>
      </c>
      <c r="D335" t="s">
        <v>61</v>
      </c>
      <c r="E335" t="s">
        <v>6</v>
      </c>
      <c r="F335" s="3" t="s">
        <v>359</v>
      </c>
      <c r="G335" s="3">
        <v>16</v>
      </c>
      <c r="H335" t="str" cm="1">
        <f t="array" ref="H335:M335">IFERROR(
  _xlfn.LET(
    _xlpm.clean, _xlfn.LAMBDA(_xlpm.x, TRIM(SUBSTITUTE(_xlpm.x,CHAR(160)," "))),
    _xlpm.t, CLEAN($D335),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CHILMARK, TOWN OF</v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 spans="2:14" x14ac:dyDescent="0.35">
      <c r="B336" s="3" t="str" cm="1">
        <f t="array" ref="B336">IF(SUM(COUNTIF($H336:$N336,{"*TOWN OF*","*CITY OF*"}))&gt;0,"✓","")</f>
        <v>✓</v>
      </c>
      <c r="C336" s="3" t="str">
        <f t="shared" si="5"/>
        <v/>
      </c>
      <c r="D336" s="6" t="s">
        <v>62</v>
      </c>
      <c r="E336" s="6" t="s">
        <v>6</v>
      </c>
      <c r="F336" s="5" t="s">
        <v>54</v>
      </c>
      <c r="G336" s="3">
        <v>16</v>
      </c>
      <c r="H336" t="str" cm="1">
        <f t="array" ref="H336:M336">IFERROR(
  _xlfn.LET(
    _xlpm.clean, _xlfn.LAMBDA(_xlpm.x, TRIM(SUBSTITUTE(_xlpm.x,CHAR(160)," "))),
    _xlpm.t, CLEAN($D336),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DENNIS, TOWN OF</v>
      </c>
      <c r="I336" s="6" t="str">
        <v/>
      </c>
      <c r="J336" s="6" t="str">
        <v/>
      </c>
      <c r="K336" s="6" t="str">
        <v/>
      </c>
      <c r="L336" s="6" t="str">
        <v/>
      </c>
      <c r="M336" s="6" t="str">
        <v/>
      </c>
      <c r="N336" s="6"/>
    </row>
    <row r="337" spans="2:14" x14ac:dyDescent="0.35">
      <c r="B337" s="3" t="str" cm="1">
        <f t="array" ref="B337">IF(SUM(COUNTIF($H337:$N337,{"*TOWN OF*","*CITY OF*"}))&gt;0,"✓","")</f>
        <v/>
      </c>
      <c r="C337" s="3" t="str">
        <f t="shared" si="5"/>
        <v>✓</v>
      </c>
      <c r="D337" t="s">
        <v>65</v>
      </c>
      <c r="E337" t="s">
        <v>6</v>
      </c>
      <c r="F337" s="3" t="s">
        <v>54</v>
      </c>
      <c r="G337" s="3">
        <v>16</v>
      </c>
      <c r="H337" t="str" cm="1">
        <f t="array" ref="H337:M337">IFERROR(
  _xlfn.LET(
    _xlpm.clean, _xlfn.LAMBDA(_xlpm.x, TRIM(SUBSTITUTE(_xlpm.x,CHAR(160)," "))),
    _xlpm.t, CLEAN($D337),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 spans="2:14" x14ac:dyDescent="0.35">
      <c r="B338" s="3" t="str" cm="1">
        <f t="array" ref="B338">IF(SUM(COUNTIF($H338:$N338,{"*TOWN OF*","*CITY OF*"}))&gt;0,"✓","")</f>
        <v/>
      </c>
      <c r="C338" s="3" t="str">
        <f t="shared" si="5"/>
        <v>✓</v>
      </c>
      <c r="D338" t="s">
        <v>66</v>
      </c>
      <c r="E338" t="s">
        <v>6</v>
      </c>
      <c r="F338" s="3" t="s">
        <v>359</v>
      </c>
      <c r="G338" s="3">
        <v>16</v>
      </c>
      <c r="H338" t="str" cm="1">
        <f t="array" ref="H338:M338">IFERROR(
  _xlfn.LET(
    _xlpm.clean, _xlfn.LAMBDA(_xlpm.x, TRIM(SUBSTITUTE(_xlpm.x,CHAR(160)," "))),
    _xlpm.t, CLEAN($D338),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 spans="2:14" s="6" customFormat="1" x14ac:dyDescent="0.35">
      <c r="B339" s="3" t="str" cm="1">
        <f t="array" ref="B339">IF(SUM(COUNTIF($H339:$N339,{"*TOWN OF*","*CITY OF*"}))&gt;0,"✓","")</f>
        <v>✓</v>
      </c>
      <c r="C339" s="3" t="str">
        <f t="shared" si="5"/>
        <v/>
      </c>
      <c r="D339" t="s">
        <v>67</v>
      </c>
      <c r="E339" t="s">
        <v>6</v>
      </c>
      <c r="F339" s="3" t="s">
        <v>54</v>
      </c>
      <c r="G339" s="3">
        <v>16</v>
      </c>
      <c r="H339" t="str" cm="1">
        <f t="array" ref="H339:M339">IFERROR(
  _xlfn.LET(
    _xlpm.clean, _xlfn.LAMBDA(_xlpm.x, TRIM(SUBSTITUTE(_xlpm.x,CHAR(160)," "))),
    _xlpm.t, CLEAN($D339),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FALMOUTH, TOWN OF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/>
    </row>
    <row r="340" spans="2:14" x14ac:dyDescent="0.35">
      <c r="B340" s="3" t="str" cm="1">
        <f t="array" ref="B340">IF(SUM(COUNTIF($H340:$N340,{"*TOWN OF*","*CITY OF*"}))&gt;0,"✓","")</f>
        <v/>
      </c>
      <c r="C340" s="3" t="str">
        <f t="shared" si="5"/>
        <v>✓</v>
      </c>
      <c r="D340" t="s">
        <v>68</v>
      </c>
      <c r="E340" t="s">
        <v>6</v>
      </c>
      <c r="F340" s="3" t="s">
        <v>359</v>
      </c>
      <c r="G340" s="3">
        <v>16</v>
      </c>
      <c r="H340" t="str" cm="1">
        <f t="array" ref="H340:M340">IFERROR(
  _xlfn.LET(
    _xlpm.clean, _xlfn.LAMBDA(_xlpm.x, TRIM(SUBSTITUTE(_xlpm.x,CHAR(160)," "))),
    _xlpm.t, CLEAN($D340),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 spans="2:14" x14ac:dyDescent="0.35">
      <c r="B341" s="3" t="str" cm="1">
        <f t="array" ref="B341">IF(SUM(COUNTIF($H341:$N341,{"*TOWN OF*","*CITY OF*"}))&gt;0,"✓","")</f>
        <v/>
      </c>
      <c r="C341" s="3" t="str">
        <f t="shared" si="5"/>
        <v>✓</v>
      </c>
      <c r="D341" t="s">
        <v>72</v>
      </c>
      <c r="E341" t="s">
        <v>6</v>
      </c>
      <c r="F341" s="3" t="s">
        <v>54</v>
      </c>
      <c r="G341" s="3">
        <v>16</v>
      </c>
      <c r="H341" t="str" cm="1">
        <f t="array" ref="H341:M341">IFERROR(
  _xlfn.LET(
    _xlpm.clean, _xlfn.LAMBDA(_xlpm.x, TRIM(SUBSTITUTE(_xlpm.x,CHAR(160)," "))),
    _xlpm.t, CLEAN($D341),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 spans="2:14" x14ac:dyDescent="0.35">
      <c r="B342" s="3" t="str" cm="1">
        <f t="array" ref="B342">IF(SUM(COUNTIF($H342:$N342,{"*TOWN OF*","*CITY OF*"}))&gt;0,"✓","")</f>
        <v/>
      </c>
      <c r="C342" s="3" t="str">
        <f t="shared" si="5"/>
        <v>✓</v>
      </c>
      <c r="D342" t="s">
        <v>76</v>
      </c>
      <c r="E342" t="s">
        <v>6</v>
      </c>
      <c r="F342" s="3" t="s">
        <v>54</v>
      </c>
      <c r="G342" s="3">
        <v>16</v>
      </c>
      <c r="H342" t="str" cm="1">
        <f t="array" ref="H342:M342">IFERROR(
  _xlfn.LET(
    _xlpm.clean, _xlfn.LAMBDA(_xlpm.x, TRIM(SUBSTITUTE(_xlpm.x,CHAR(160)," "))),
    _xlpm.t, CLEAN($D342),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 spans="2:14" x14ac:dyDescent="0.35">
      <c r="B343" s="3" t="str" cm="1">
        <f t="array" ref="B343">IF(SUM(COUNTIF($H343:$N343,{"*TOWN OF*","*CITY OF*"}))&gt;0,"✓","")</f>
        <v/>
      </c>
      <c r="C343" s="3" t="str">
        <f t="shared" si="5"/>
        <v>✓</v>
      </c>
      <c r="D343" t="s">
        <v>79</v>
      </c>
      <c r="E343" t="s">
        <v>6</v>
      </c>
      <c r="F343" s="3" t="s">
        <v>79</v>
      </c>
      <c r="G343" s="3">
        <v>16</v>
      </c>
      <c r="H343" t="str" cm="1">
        <f t="array" ref="H343:M343">IFERROR(
  _xlfn.LET(
    _xlpm.clean, _xlfn.LAMBDA(_xlpm.x, TRIM(SUBSTITUTE(_xlpm.x,CHAR(160)," "))),
    _xlpm.t, CLEAN($D343),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 spans="2:14" x14ac:dyDescent="0.35">
      <c r="B344" s="3" t="str" cm="1">
        <f t="array" ref="B344">IF(SUM(COUNTIF($H344:$N344,{"*TOWN OF*","*CITY OF*"}))&gt;0,"✓","")</f>
        <v>✓</v>
      </c>
      <c r="C344" s="3" t="str">
        <f t="shared" si="5"/>
        <v/>
      </c>
      <c r="D344" t="s">
        <v>80</v>
      </c>
      <c r="E344" t="s">
        <v>6</v>
      </c>
      <c r="F344" s="3" t="s">
        <v>359</v>
      </c>
      <c r="G344" s="3">
        <v>16</v>
      </c>
      <c r="H344" t="str" cm="1">
        <f t="array" ref="H344:M344">IFERROR(
  _xlfn.LET(
    _xlpm.clean, _xlfn.LAMBDA(_xlpm.x, TRIM(SUBSTITUTE(_xlpm.x,CHAR(160)," "))),
    _xlpm.t, CLEAN($D344),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OAK BLUFFS, TOWN OF</v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 spans="2:14" x14ac:dyDescent="0.35">
      <c r="B345" s="3" t="str" cm="1">
        <f t="array" ref="B345">IF(SUM(COUNTIF($H345:$N345,{"*TOWN OF*","*CITY OF*"}))&gt;0,"✓","")</f>
        <v>✓</v>
      </c>
      <c r="C345" s="3" t="str">
        <f t="shared" si="5"/>
        <v/>
      </c>
      <c r="D345" t="s">
        <v>81</v>
      </c>
      <c r="E345" t="s">
        <v>6</v>
      </c>
      <c r="F345" s="3" t="s">
        <v>54</v>
      </c>
      <c r="G345" s="3">
        <v>16</v>
      </c>
      <c r="H345" t="str" cm="1">
        <f t="array" ref="H345:M345">IFERROR(
  _xlfn.LET(
    _xlpm.clean, _xlfn.LAMBDA(_xlpm.x, TRIM(SUBSTITUTE(_xlpm.x,CHAR(160)," "))),
    _xlpm.t, CLEAN($D345),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SOUTHEASTERN MASS HEALTH GROUP</v>
      </c>
      <c r="I345" t="str">
        <v>ORLEANS, TOWN OF</v>
      </c>
      <c r="J345" t="str">
        <v/>
      </c>
      <c r="K345" t="str">
        <v/>
      </c>
      <c r="L345" t="str">
        <v/>
      </c>
      <c r="M345" t="str">
        <v/>
      </c>
    </row>
    <row r="346" spans="2:14" x14ac:dyDescent="0.35">
      <c r="B346" s="3" t="str" cm="1">
        <f t="array" ref="B346">IF(SUM(COUNTIF($H346:$N346,{"*TOWN OF*","*CITY OF*"}))&gt;0,"✓","")</f>
        <v>✓</v>
      </c>
      <c r="C346" s="3" t="str">
        <f t="shared" si="5"/>
        <v/>
      </c>
      <c r="D346" t="s">
        <v>85</v>
      </c>
      <c r="E346" t="s">
        <v>6</v>
      </c>
      <c r="F346" s="3" t="s">
        <v>54</v>
      </c>
      <c r="G346" s="3">
        <v>16</v>
      </c>
      <c r="H346" t="str" cm="1">
        <f t="array" ref="H346:M346">IFERROR(
  _xlfn.LET(
    _xlpm.clean, _xlfn.LAMBDA(_xlpm.x, TRIM(SUBSTITUTE(_xlpm.x,CHAR(160)," "))),
    _xlpm.t, CLEAN($D346),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PROVINCETOWN, TOWN OF</v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 spans="2:14" x14ac:dyDescent="0.35">
      <c r="B347" s="3" t="str" cm="1">
        <f t="array" ref="B347">IF(SUM(COUNTIF($H347:$N347,{"*TOWN OF*","*CITY OF*"}))&gt;0,"✓","")</f>
        <v>✓</v>
      </c>
      <c r="C347" s="3" t="str">
        <f t="shared" si="5"/>
        <v/>
      </c>
      <c r="D347" t="s">
        <v>87</v>
      </c>
      <c r="E347" t="s">
        <v>6</v>
      </c>
      <c r="F347" s="3" t="s">
        <v>54</v>
      </c>
      <c r="G347" s="3">
        <v>16</v>
      </c>
      <c r="H347" t="str" cm="1">
        <f t="array" ref="H347:M347">IFERROR(
  _xlfn.LET(
    _xlpm.clean, _xlfn.LAMBDA(_xlpm.x, TRIM(SUBSTITUTE(_xlpm.x,CHAR(160)," "))),
    _xlpm.t, CLEAN($D347),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SANDWICH, TOWN OF</v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 spans="2:14" x14ac:dyDescent="0.35">
      <c r="B348" s="3" t="str" cm="1">
        <f t="array" ref="B348">IF(SUM(COUNTIF($H348:$N348,{"*TOWN OF*","*CITY OF*"}))&gt;0,"✓","")</f>
        <v>✓</v>
      </c>
      <c r="C348" s="3" t="str">
        <f t="shared" si="5"/>
        <v/>
      </c>
      <c r="D348" t="s">
        <v>88</v>
      </c>
      <c r="E348" t="s">
        <v>6</v>
      </c>
      <c r="F348" s="3" t="s">
        <v>359</v>
      </c>
      <c r="G348" s="3">
        <v>16</v>
      </c>
      <c r="H348" t="str" cm="1">
        <f t="array" ref="H348:M348">IFERROR(
  _xlfn.LET(
    _xlpm.clean, _xlfn.LAMBDA(_xlpm.x, TRIM(SUBSTITUTE(_xlpm.x,CHAR(160)," "))),
    _xlpm.t, CLEAN($D348),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>TISBURY, TOWN OF</v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 spans="2:14" x14ac:dyDescent="0.35">
      <c r="B349" s="3" t="str" cm="1">
        <f t="array" ref="B349">IF(SUM(COUNTIF($H349:$N349,{"*TOWN OF*","*CITY OF*"}))&gt;0,"✓","")</f>
        <v/>
      </c>
      <c r="C349" s="3" t="str">
        <f t="shared" si="5"/>
        <v>✓</v>
      </c>
      <c r="D349" t="s">
        <v>89</v>
      </c>
      <c r="E349" t="s">
        <v>6</v>
      </c>
      <c r="F349" s="3" t="s">
        <v>54</v>
      </c>
      <c r="G349" s="3">
        <v>16</v>
      </c>
      <c r="H349" t="str" cm="1">
        <f t="array" ref="H349:M349">IFERROR(
  _xlfn.LET(
    _xlpm.clean, _xlfn.LAMBDA(_xlpm.x, TRIM(SUBSTITUTE(_xlpm.x,CHAR(160)," "))),
    _xlpm.t, CLEAN($D349),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 spans="2:14" x14ac:dyDescent="0.35">
      <c r="B350" s="3" t="str" cm="1">
        <f t="array" ref="B350">IF(SUM(COUNTIF($H350:$N350,{"*TOWN OF*","*CITY OF*"}))&gt;0,"✓","")</f>
        <v/>
      </c>
      <c r="C350" s="3" t="str">
        <f t="shared" si="5"/>
        <v>✓</v>
      </c>
      <c r="D350" t="s">
        <v>91</v>
      </c>
      <c r="E350" t="s">
        <v>6</v>
      </c>
      <c r="F350" s="3" t="s">
        <v>54</v>
      </c>
      <c r="G350" s="3">
        <v>16</v>
      </c>
      <c r="H350" t="str" cm="1">
        <f t="array" ref="H350:M350">IFERROR(
  _xlfn.LET(
    _xlpm.clean, _xlfn.LAMBDA(_xlpm.x, TRIM(SUBSTITUTE(_xlpm.x,CHAR(160)," "))),
    _xlpm.t, CLEAN($D350),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 spans="2:14" x14ac:dyDescent="0.35">
      <c r="B351" s="3" t="str" cm="1">
        <f t="array" ref="B351">IF(SUM(COUNTIF($H351:$N351,{"*TOWN OF*","*CITY OF*"}))&gt;0,"✓","")</f>
        <v/>
      </c>
      <c r="C351" s="3" t="str">
        <f t="shared" si="5"/>
        <v>✓</v>
      </c>
      <c r="D351" t="s">
        <v>93</v>
      </c>
      <c r="E351" t="s">
        <v>6</v>
      </c>
      <c r="F351" s="3" t="s">
        <v>359</v>
      </c>
      <c r="G351" s="3">
        <v>16</v>
      </c>
      <c r="H351" t="str" cm="1">
        <f t="array" ref="H351:M351">IFERROR(
  _xlfn.LET(
    _xlpm.clean, _xlfn.LAMBDA(_xlpm.x, TRIM(SUBSTITUTE(_xlpm.x,CHAR(160)," "))),
    _xlpm.t, CLEAN($D351),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 spans="2:14" x14ac:dyDescent="0.35">
      <c r="B352" s="3" t="str" cm="1">
        <f t="array" ref="B352">IF(SUM(COUNTIF($H352:$N352,{"*TOWN OF*","*CITY OF*"}))&gt;0,"✓","")</f>
        <v/>
      </c>
      <c r="C352" s="3" t="str">
        <f t="shared" si="5"/>
        <v>✓</v>
      </c>
      <c r="D352" t="s">
        <v>95</v>
      </c>
      <c r="E352" t="s">
        <v>6</v>
      </c>
      <c r="F352" s="3" t="s">
        <v>54</v>
      </c>
      <c r="G352" s="3">
        <v>16</v>
      </c>
      <c r="H352" t="str" cm="1">
        <f t="array" ref="H352:M352">IFERROR(
  _xlfn.LET(
    _xlpm.clean, _xlfn.LAMBDA(_xlpm.x, TRIM(SUBSTITUTE(_xlpm.x,CHAR(160)," "))),
    _xlpm.t, CLEAN($D352),
    _xlpm.data, _xlfn._xlws.FILTER(
            CHOOSE({1,2}, 'DO NOT EDIT - Client List'!$A$2:$A$346, 'DO NOT EDIT - Client List'!$E$2:$E$346),
            CLEAN('DO NOT EDIT - Client List'!$C$2:$C$346)=_xlpm.t
          ),
    _xlpm.k, _xlfn.SEQUENCE(6),
    _xlpm.nm, IFERROR(INDEX(_xlpm.data, _xlpm.k, 1), ""),
    _xlpm.dt_raw, IFERROR(INDEX(_xlpm.data, _xlpm.k, 2), ""),
    _xlpm.dt_num, IF(
              ISNUMBER(_xlpm.dt_raw),
              _xlpm.dt_raw,
              IFERROR(DATEVALUE(_xlpm.dt_raw), 0)
            ),
    TRANSPOSE(
      IF(_xlpm.nm="","",
        _xlpm.nm &amp; IF(_xlpm.dt_num=0, "", " - " &amp; TEXT(_xlpm.dt_num,"m/d/yyyy"))
      )
    )
  ),
"")</f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</sheetData>
  <autoFilter ref="B1:N352" xr:uid="{00000000-0001-0000-0000-000000000000}">
    <sortState xmlns:xlrd2="http://schemas.microsoft.com/office/spreadsheetml/2017/richdata2" ref="B2:N352">
      <sortCondition ref="G1:G352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BEF4-A1A8-40BC-AB90-49156B9D4703}">
  <dimension ref="A1:I19"/>
  <sheetViews>
    <sheetView tabSelected="1" zoomScaleNormal="100" workbookViewId="0">
      <selection activeCell="P23" sqref="P23"/>
    </sheetView>
  </sheetViews>
  <sheetFormatPr defaultRowHeight="14.5" x14ac:dyDescent="0.35"/>
  <cols>
    <col min="1" max="1" width="7.7265625" style="12" bestFit="1" customWidth="1"/>
    <col min="2" max="2" width="10.54296875" style="12" bestFit="1" customWidth="1"/>
    <col min="6" max="6" width="10.54296875" customWidth="1"/>
    <col min="7" max="7" width="2" customWidth="1"/>
    <col min="9" max="9" width="8.7265625" style="32"/>
  </cols>
  <sheetData>
    <row r="1" spans="1:9" x14ac:dyDescent="0.35">
      <c r="A1" s="12" t="s">
        <v>1031</v>
      </c>
      <c r="B1" s="12" t="s">
        <v>1030</v>
      </c>
      <c r="C1" t="s">
        <v>1032</v>
      </c>
    </row>
    <row r="2" spans="1:9" x14ac:dyDescent="0.35">
      <c r="A2" s="12">
        <v>1</v>
      </c>
      <c r="B2" s="12">
        <f>COUNTIF('1-Sue'!A2:A57,"*")</f>
        <v>15</v>
      </c>
      <c r="C2" t="s">
        <v>1033</v>
      </c>
      <c r="E2" s="37"/>
      <c r="F2" s="38" t="s">
        <v>1030</v>
      </c>
      <c r="G2" s="38"/>
      <c r="H2" s="43" t="s">
        <v>1096</v>
      </c>
      <c r="I2" s="44" t="s">
        <v>1097</v>
      </c>
    </row>
    <row r="3" spans="1:9" x14ac:dyDescent="0.35">
      <c r="A3" s="12">
        <v>2</v>
      </c>
      <c r="B3" s="12">
        <f>COUNTIF('2-Sue'!A2:A34,"*")</f>
        <v>11</v>
      </c>
      <c r="C3" t="s">
        <v>1034</v>
      </c>
      <c r="E3" s="39" t="s">
        <v>1033</v>
      </c>
      <c r="F3">
        <f>B2+B3+B4+B5+B7</f>
        <v>89</v>
      </c>
      <c r="H3" s="33">
        <f>SUM('DO NOT EDIT - Client List'!J2:J67,'DO NOT EDIT - Client List'!J94:J114)</f>
        <v>5</v>
      </c>
      <c r="I3" s="40">
        <f>H3/F3</f>
        <v>5.6179775280898875E-2</v>
      </c>
    </row>
    <row r="4" spans="1:9" x14ac:dyDescent="0.35">
      <c r="A4" s="12">
        <v>3</v>
      </c>
      <c r="B4" s="12">
        <f>COUNTIF('3-Sue'!A2:A60,"*")</f>
        <v>21</v>
      </c>
      <c r="C4" t="s">
        <v>1034</v>
      </c>
      <c r="E4" s="39" t="s">
        <v>1035</v>
      </c>
      <c r="F4">
        <f>B17+B15+B16+B14</f>
        <v>79</v>
      </c>
      <c r="H4" s="33">
        <f>SUM('DO NOT EDIT - Client List'!J266:J346)</f>
        <v>0</v>
      </c>
      <c r="I4" s="40">
        <f t="shared" ref="I4:I10" si="0">H4/F4</f>
        <v>0</v>
      </c>
    </row>
    <row r="5" spans="1:9" x14ac:dyDescent="0.35">
      <c r="A5" s="12">
        <v>4</v>
      </c>
      <c r="B5" s="12">
        <f>COUNTIF('4-Sue'!A2:A54,"*")</f>
        <v>20</v>
      </c>
      <c r="C5" t="s">
        <v>1034</v>
      </c>
      <c r="E5" s="39" t="s">
        <v>1036</v>
      </c>
      <c r="F5">
        <f>B6+B8+B11</f>
        <v>82</v>
      </c>
      <c r="H5" s="33">
        <f>SUM('DO NOT EDIT - Client List'!J68:J93,'DO NOT EDIT - Client List'!J115:J151,'DO NOT EDIT - Client List'!J213:J231)</f>
        <v>0</v>
      </c>
      <c r="I5" s="40">
        <f t="shared" si="0"/>
        <v>0</v>
      </c>
    </row>
    <row r="6" spans="1:9" x14ac:dyDescent="0.35">
      <c r="A6" s="12">
        <v>5</v>
      </c>
      <c r="B6" s="12">
        <f>COUNTIF('5-Brian'!A2:A59,"*")</f>
        <v>25</v>
      </c>
      <c r="C6" t="s">
        <v>1036</v>
      </c>
      <c r="E6" s="39" t="s">
        <v>1037</v>
      </c>
      <c r="F6">
        <f>B13+B9+B10</f>
        <v>82</v>
      </c>
      <c r="H6" s="33">
        <f>SUM('DO NOT EDIT - Client List'!J152:J212,'DO NOT EDIT - Client List'!J242:J265)</f>
        <v>13</v>
      </c>
      <c r="I6" s="40">
        <f t="shared" si="0"/>
        <v>0.15853658536585366</v>
      </c>
    </row>
    <row r="7" spans="1:9" x14ac:dyDescent="0.35">
      <c r="A7" s="12">
        <v>6</v>
      </c>
      <c r="B7" s="12">
        <f>COUNTIF('6-Sue'!A2:A61,"*")</f>
        <v>22</v>
      </c>
      <c r="C7" t="s">
        <v>1033</v>
      </c>
      <c r="E7" s="39"/>
      <c r="H7" s="33"/>
      <c r="I7" s="40"/>
    </row>
    <row r="8" spans="1:9" x14ac:dyDescent="0.35">
      <c r="A8" s="12">
        <v>7</v>
      </c>
      <c r="B8" s="12">
        <f>COUNTIF('7-Brian'!A2:A64,"*")</f>
        <v>38</v>
      </c>
      <c r="C8" t="s">
        <v>1036</v>
      </c>
      <c r="E8" s="39" t="s">
        <v>1095</v>
      </c>
      <c r="F8">
        <f>B12</f>
        <v>10</v>
      </c>
      <c r="H8" s="33">
        <f>SUM('DO NOT EDIT - Client List'!J232:J241)</f>
        <v>0</v>
      </c>
      <c r="I8" s="40">
        <f t="shared" si="0"/>
        <v>0</v>
      </c>
    </row>
    <row r="9" spans="1:9" x14ac:dyDescent="0.35">
      <c r="A9" s="12">
        <v>8</v>
      </c>
      <c r="B9" s="12">
        <f>COUNTIF('8-Kath'!A2:A62,"*")</f>
        <v>31</v>
      </c>
      <c r="C9" t="s">
        <v>1037</v>
      </c>
      <c r="E9" s="39"/>
      <c r="H9" s="33"/>
      <c r="I9" s="40"/>
    </row>
    <row r="10" spans="1:9" x14ac:dyDescent="0.35">
      <c r="A10" s="12">
        <v>9</v>
      </c>
      <c r="B10" s="12">
        <f>COUNTIF('9-Kath'!A2:A63,"*")</f>
        <v>28</v>
      </c>
      <c r="C10" t="s">
        <v>1037</v>
      </c>
      <c r="E10" s="41" t="s">
        <v>1098</v>
      </c>
      <c r="F10" s="35">
        <f>SUM(B2:B17)</f>
        <v>342</v>
      </c>
      <c r="G10" s="35"/>
      <c r="H10" s="36">
        <f>SUM(H3:H8)</f>
        <v>18</v>
      </c>
      <c r="I10" s="42">
        <f t="shared" si="0"/>
        <v>5.2631578947368418E-2</v>
      </c>
    </row>
    <row r="11" spans="1:9" x14ac:dyDescent="0.35">
      <c r="A11" s="12">
        <v>10</v>
      </c>
      <c r="B11" s="12">
        <f>COUNTIF('10-Brian'!A2:A64,"*")</f>
        <v>19</v>
      </c>
      <c r="C11" t="s">
        <v>1036</v>
      </c>
      <c r="H11" s="33"/>
      <c r="I11" s="34"/>
    </row>
    <row r="12" spans="1:9" x14ac:dyDescent="0.35">
      <c r="A12" s="12">
        <v>11</v>
      </c>
      <c r="B12" s="12">
        <f>COUNTIF('11-B,M,K'!A2:A65,"*")</f>
        <v>10</v>
      </c>
      <c r="C12" t="s">
        <v>1038</v>
      </c>
    </row>
    <row r="13" spans="1:9" x14ac:dyDescent="0.35">
      <c r="A13" s="12">
        <v>12</v>
      </c>
      <c r="B13" s="12">
        <f>COUNTIF('12-Kath'!A2:A66,"*")</f>
        <v>23</v>
      </c>
      <c r="C13" t="s">
        <v>1037</v>
      </c>
    </row>
    <row r="14" spans="1:9" x14ac:dyDescent="0.35">
      <c r="A14" s="12">
        <v>13</v>
      </c>
      <c r="B14" s="12">
        <f>COUNTIF('13-Michelle'!A2:A66,"*")</f>
        <v>18</v>
      </c>
      <c r="C14" t="s">
        <v>1035</v>
      </c>
    </row>
    <row r="15" spans="1:9" x14ac:dyDescent="0.35">
      <c r="A15" s="12">
        <v>14</v>
      </c>
      <c r="B15" s="12">
        <f>COUNTIF('14-Michelle'!A2:A68,"*")</f>
        <v>23</v>
      </c>
      <c r="C15" t="s">
        <v>1035</v>
      </c>
    </row>
    <row r="16" spans="1:9" x14ac:dyDescent="0.35">
      <c r="A16" s="12">
        <v>15</v>
      </c>
      <c r="B16" s="12">
        <f>COUNTIF('15-Michelle'!A2:A69,"*")</f>
        <v>21</v>
      </c>
      <c r="C16" t="s">
        <v>1035</v>
      </c>
    </row>
    <row r="17" spans="1:3" x14ac:dyDescent="0.35">
      <c r="A17" s="12">
        <v>16</v>
      </c>
      <c r="B17" s="12">
        <f>COUNTIF('16-Michelle'!A2:A70,"*")</f>
        <v>17</v>
      </c>
      <c r="C17" t="s">
        <v>1035</v>
      </c>
    </row>
    <row r="18" spans="1:3" x14ac:dyDescent="0.35">
      <c r="B18" s="12">
        <f>SUM(B2:B17)</f>
        <v>342</v>
      </c>
    </row>
    <row r="19" spans="1:3" x14ac:dyDescent="0.35">
      <c r="B19" s="13" t="s">
        <v>1039</v>
      </c>
    </row>
  </sheetData>
  <sheetProtection algorithmName="SHA-512" hashValue="vj9Bak1LmjYaQg2yAmgearIOYsdMnFh91VihCY7ag2r2PFAmgH8RhpJ1g3Z92OBp7XkCxt/wCA8bJSVM/kKOOw==" saltValue="gdHXjF73odwrY1ENE9amTw==" spinCount="100000" sheet="1" objects="1" scenarios="1"/>
  <hyperlinks>
    <hyperlink ref="B19" r:id="rId1" xr:uid="{7B6F2AFD-76F2-4D6C-9408-74D014F7E059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39AD-AC97-41BB-8DD1-60F8ED39F9CA}">
  <dimension ref="A1:K19"/>
  <sheetViews>
    <sheetView zoomScaleNormal="100" workbookViewId="0">
      <selection activeCell="D2" sqref="D2"/>
    </sheetView>
  </sheetViews>
  <sheetFormatPr defaultRowHeight="14.5" x14ac:dyDescent="0.35"/>
  <cols>
    <col min="1" max="1" width="28.26953125" bestFit="1" customWidth="1"/>
    <col min="2" max="2" width="17.7265625" hidden="1" customWidth="1"/>
    <col min="3" max="3" width="17.26953125" hidden="1" customWidth="1"/>
    <col min="4" max="4" width="7.7265625" bestFit="1" customWidth="1"/>
    <col min="5" max="5" width="17.26953125" bestFit="1" customWidth="1"/>
    <col min="6" max="6" width="14.26953125" bestFit="1" customWidth="1"/>
    <col min="7" max="7" width="37.26953125" customWidth="1"/>
    <col min="8" max="8" width="27.7265625" customWidth="1"/>
    <col min="9" max="9" width="30" style="23" customWidth="1"/>
  </cols>
  <sheetData>
    <row r="1" spans="1:11" ht="15.5" x14ac:dyDescent="0.35">
      <c r="A1" s="19" t="s">
        <v>363</v>
      </c>
      <c r="B1" s="19" t="s">
        <v>5</v>
      </c>
      <c r="C1" s="19" t="s">
        <v>970</v>
      </c>
      <c r="D1" s="19" t="s">
        <v>955</v>
      </c>
      <c r="E1" s="20" t="s">
        <v>956</v>
      </c>
      <c r="F1" s="19" t="s">
        <v>957</v>
      </c>
      <c r="G1" s="19" t="s">
        <v>958</v>
      </c>
      <c r="H1" s="19" t="s">
        <v>1041</v>
      </c>
      <c r="I1" s="22" t="s">
        <v>1045</v>
      </c>
      <c r="J1" s="29" t="s">
        <v>1046</v>
      </c>
      <c r="K1" s="3"/>
    </row>
    <row r="2" spans="1:11" x14ac:dyDescent="0.35">
      <c r="A2" s="27" t="s">
        <v>402</v>
      </c>
      <c r="B2" s="27" t="s">
        <v>403</v>
      </c>
      <c r="C2" s="3" t="s">
        <v>9</v>
      </c>
      <c r="D2" s="3">
        <v>1</v>
      </c>
      <c r="E2" s="23">
        <v>46037</v>
      </c>
      <c r="F2" s="3" t="s">
        <v>1040</v>
      </c>
      <c r="G2" s="3" t="s">
        <v>1040</v>
      </c>
      <c r="H2" s="3" t="s">
        <v>1040</v>
      </c>
      <c r="I2" s="23" t="s">
        <v>1225</v>
      </c>
      <c r="J2" s="3">
        <v>1</v>
      </c>
      <c r="K2" s="3"/>
    </row>
    <row r="3" spans="1:11" x14ac:dyDescent="0.35">
      <c r="A3" s="28" t="s">
        <v>1050</v>
      </c>
      <c r="B3" s="28"/>
      <c r="C3" s="3" t="s">
        <v>9</v>
      </c>
      <c r="D3" s="3">
        <v>1</v>
      </c>
      <c r="E3" s="23">
        <v>46037</v>
      </c>
      <c r="F3" s="3" t="s">
        <v>1040</v>
      </c>
      <c r="G3" s="3" t="s">
        <v>1040</v>
      </c>
      <c r="H3" s="3" t="s">
        <v>1040</v>
      </c>
      <c r="I3" s="23" t="s">
        <v>1226</v>
      </c>
      <c r="J3" s="3">
        <v>1</v>
      </c>
      <c r="K3" s="3"/>
    </row>
    <row r="4" spans="1:11" x14ac:dyDescent="0.35">
      <c r="A4" s="28" t="s">
        <v>420</v>
      </c>
      <c r="B4" s="28" t="s">
        <v>421</v>
      </c>
      <c r="C4" s="3" t="s">
        <v>10</v>
      </c>
      <c r="D4" s="3">
        <v>1</v>
      </c>
      <c r="E4" s="23">
        <v>46001</v>
      </c>
      <c r="F4" s="3" t="s">
        <v>1040</v>
      </c>
      <c r="G4" s="3" t="s">
        <v>1060</v>
      </c>
      <c r="H4" s="3" t="s">
        <v>1040</v>
      </c>
      <c r="J4" s="3"/>
      <c r="K4" s="3"/>
    </row>
    <row r="5" spans="1:11" x14ac:dyDescent="0.35">
      <c r="A5" s="28" t="s">
        <v>1208</v>
      </c>
      <c r="B5" s="28"/>
      <c r="C5" s="3"/>
      <c r="D5" s="3">
        <v>1</v>
      </c>
      <c r="E5" s="3" t="s">
        <v>1040</v>
      </c>
      <c r="F5" s="3" t="s">
        <v>1040</v>
      </c>
      <c r="G5" s="3" t="s">
        <v>1040</v>
      </c>
      <c r="H5" s="3" t="s">
        <v>1040</v>
      </c>
      <c r="J5" s="3"/>
      <c r="K5" s="3"/>
    </row>
    <row r="6" spans="1:11" x14ac:dyDescent="0.35">
      <c r="A6" s="28" t="s">
        <v>463</v>
      </c>
      <c r="B6" s="28" t="s">
        <v>464</v>
      </c>
      <c r="C6" s="3" t="s">
        <v>13</v>
      </c>
      <c r="D6" s="3">
        <v>1</v>
      </c>
      <c r="E6" s="23">
        <v>46001</v>
      </c>
      <c r="F6" s="3" t="s">
        <v>1040</v>
      </c>
      <c r="G6" s="3" t="s">
        <v>1060</v>
      </c>
      <c r="H6" s="3" t="s">
        <v>1040</v>
      </c>
      <c r="J6" s="3"/>
      <c r="K6" s="3"/>
    </row>
    <row r="7" spans="1:11" x14ac:dyDescent="0.35">
      <c r="A7" s="28" t="s">
        <v>510</v>
      </c>
      <c r="B7" s="28" t="s">
        <v>934</v>
      </c>
      <c r="C7" s="3" t="s">
        <v>17</v>
      </c>
      <c r="D7" s="3">
        <v>1</v>
      </c>
      <c r="E7" s="23">
        <v>45739</v>
      </c>
      <c r="F7" s="3" t="s">
        <v>1040</v>
      </c>
      <c r="G7" s="3" t="s">
        <v>1040</v>
      </c>
      <c r="H7" s="3" t="s">
        <v>1040</v>
      </c>
      <c r="J7" s="3"/>
      <c r="K7" s="3"/>
    </row>
    <row r="8" spans="1:11" x14ac:dyDescent="0.35">
      <c r="A8" s="28" t="s">
        <v>560</v>
      </c>
      <c r="B8" s="28" t="s">
        <v>935</v>
      </c>
      <c r="C8" s="3" t="s">
        <v>20</v>
      </c>
      <c r="D8" s="3">
        <v>1</v>
      </c>
      <c r="E8" s="23" t="s">
        <v>1175</v>
      </c>
      <c r="F8" s="3" t="s">
        <v>1040</v>
      </c>
      <c r="G8" s="3" t="s">
        <v>1040</v>
      </c>
      <c r="H8" s="3" t="s">
        <v>1040</v>
      </c>
      <c r="J8" s="3"/>
      <c r="K8" s="3"/>
    </row>
    <row r="9" spans="1:11" x14ac:dyDescent="0.35">
      <c r="A9" s="28" t="s">
        <v>1206</v>
      </c>
      <c r="B9" s="28"/>
      <c r="C9" s="3"/>
      <c r="D9" s="3">
        <v>1</v>
      </c>
      <c r="E9" s="23"/>
      <c r="F9" s="3" t="s">
        <v>1040</v>
      </c>
      <c r="G9" s="3" t="s">
        <v>1040</v>
      </c>
      <c r="H9" s="3" t="s">
        <v>1040</v>
      </c>
      <c r="J9" s="3"/>
      <c r="K9" s="3"/>
    </row>
    <row r="10" spans="1:11" x14ac:dyDescent="0.35">
      <c r="A10" s="28" t="s">
        <v>616</v>
      </c>
      <c r="B10" s="28" t="s">
        <v>617</v>
      </c>
      <c r="C10" s="3" t="s">
        <v>25</v>
      </c>
      <c r="D10" s="3">
        <v>1</v>
      </c>
      <c r="E10" s="23" t="s">
        <v>1201</v>
      </c>
      <c r="F10" s="3" t="s">
        <v>1040</v>
      </c>
      <c r="G10" s="3" t="s">
        <v>1061</v>
      </c>
      <c r="H10" s="3" t="s">
        <v>1040</v>
      </c>
      <c r="J10" s="3"/>
      <c r="K10" s="3"/>
    </row>
    <row r="11" spans="1:11" x14ac:dyDescent="0.35">
      <c r="A11" s="28" t="s">
        <v>621</v>
      </c>
      <c r="B11" s="28" t="s">
        <v>622</v>
      </c>
      <c r="C11" s="3" t="s">
        <v>26</v>
      </c>
      <c r="D11" s="3">
        <v>1</v>
      </c>
      <c r="E11" s="23" t="s">
        <v>1194</v>
      </c>
      <c r="F11" s="3" t="s">
        <v>1218</v>
      </c>
      <c r="G11" s="3"/>
      <c r="H11" s="3" t="s">
        <v>1040</v>
      </c>
      <c r="I11" s="23" t="s">
        <v>1254</v>
      </c>
      <c r="J11" s="3"/>
      <c r="K11" s="3"/>
    </row>
    <row r="12" spans="1:11" x14ac:dyDescent="0.35">
      <c r="A12" s="28" t="s">
        <v>608</v>
      </c>
      <c r="B12" s="30" t="s">
        <v>609</v>
      </c>
      <c r="C12" s="3" t="s">
        <v>32</v>
      </c>
      <c r="D12" s="3">
        <v>1</v>
      </c>
      <c r="E12" s="23" t="s">
        <v>1174</v>
      </c>
      <c r="F12" s="3" t="s">
        <v>1040</v>
      </c>
      <c r="G12" s="3" t="s">
        <v>1040</v>
      </c>
      <c r="H12" s="3" t="s">
        <v>1040</v>
      </c>
      <c r="J12" s="3"/>
      <c r="K12" s="3"/>
    </row>
    <row r="13" spans="1:11" x14ac:dyDescent="0.35">
      <c r="A13" s="28" t="s">
        <v>736</v>
      </c>
      <c r="B13" s="28" t="s">
        <v>737</v>
      </c>
      <c r="C13" s="3" t="s">
        <v>34</v>
      </c>
      <c r="D13" s="3">
        <v>1</v>
      </c>
      <c r="E13" s="23"/>
      <c r="F13" s="3" t="s">
        <v>1040</v>
      </c>
      <c r="G13" s="3"/>
      <c r="H13" s="3" t="s">
        <v>1040</v>
      </c>
      <c r="I13" s="23" t="s">
        <v>1243</v>
      </c>
      <c r="J13" s="3"/>
      <c r="K13" s="3"/>
    </row>
    <row r="14" spans="1:11" x14ac:dyDescent="0.35">
      <c r="A14" s="28" t="s">
        <v>778</v>
      </c>
      <c r="B14" s="28" t="s">
        <v>38</v>
      </c>
      <c r="C14" s="3" t="s">
        <v>38</v>
      </c>
      <c r="D14" s="3">
        <v>1</v>
      </c>
      <c r="E14" s="23" t="s">
        <v>1149</v>
      </c>
      <c r="F14" s="3" t="s">
        <v>1218</v>
      </c>
      <c r="G14" s="3" t="s">
        <v>1040</v>
      </c>
      <c r="H14" s="3" t="s">
        <v>1040</v>
      </c>
      <c r="I14" s="23" t="s">
        <v>1264</v>
      </c>
      <c r="J14" s="3"/>
      <c r="K14" s="3"/>
    </row>
    <row r="15" spans="1:11" x14ac:dyDescent="0.35">
      <c r="A15" s="28" t="s">
        <v>837</v>
      </c>
      <c r="B15" s="28" t="s">
        <v>838</v>
      </c>
      <c r="C15" s="3" t="s">
        <v>44</v>
      </c>
      <c r="D15" s="3">
        <v>1</v>
      </c>
      <c r="E15" s="23" t="s">
        <v>1142</v>
      </c>
      <c r="F15" s="3" t="s">
        <v>1040</v>
      </c>
      <c r="G15" s="3"/>
      <c r="H15" s="3" t="s">
        <v>1040</v>
      </c>
      <c r="J15" s="3"/>
      <c r="K15" s="3"/>
    </row>
    <row r="16" spans="1:11" x14ac:dyDescent="0.35">
      <c r="A16" s="28" t="s">
        <v>897</v>
      </c>
      <c r="B16" s="28" t="s">
        <v>941</v>
      </c>
      <c r="C16" s="3" t="s">
        <v>48</v>
      </c>
      <c r="D16" s="3">
        <v>1</v>
      </c>
      <c r="E16" s="23" t="s">
        <v>1140</v>
      </c>
      <c r="F16" s="3" t="s">
        <v>1040</v>
      </c>
      <c r="G16" s="3" t="s">
        <v>1040</v>
      </c>
      <c r="H16" s="3" t="s">
        <v>1040</v>
      </c>
      <c r="I16" s="23" t="s">
        <v>1248</v>
      </c>
      <c r="J16" s="3"/>
      <c r="K16" s="3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J19" s="3"/>
      <c r="K19" s="3"/>
    </row>
  </sheetData>
  <conditionalFormatting sqref="A2:XFD13 A14:H14 A15:XFD28">
    <cfRule type="expression" dxfId="35" priority="6">
      <formula>$J2 = 1</formula>
    </cfRule>
  </conditionalFormatting>
  <conditionalFormatting sqref="E2:E16">
    <cfRule type="cellIs" dxfId="34" priority="3" operator="equal">
      <formula>"text"</formula>
    </cfRule>
  </conditionalFormatting>
  <conditionalFormatting sqref="I2:I16">
    <cfRule type="cellIs" dxfId="33" priority="1" operator="equal">
      <formula>"text"</formula>
    </cfRule>
  </conditionalFormatting>
  <conditionalFormatting sqref="I14:XFD14">
    <cfRule type="expression" dxfId="32" priority="2">
      <formula>$J14 = 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EC96-80A7-4015-9559-D78274AAAEA4}">
  <dimension ref="A1:J16"/>
  <sheetViews>
    <sheetView zoomScaleNormal="100" workbookViewId="0">
      <selection activeCell="G23" sqref="G23"/>
    </sheetView>
  </sheetViews>
  <sheetFormatPr defaultRowHeight="14.5" x14ac:dyDescent="0.35"/>
  <cols>
    <col min="1" max="1" width="39" bestFit="1" customWidth="1"/>
    <col min="2" max="2" width="13.81640625" hidden="1" customWidth="1"/>
    <col min="3" max="3" width="12.81640625" hidden="1" customWidth="1"/>
    <col min="4" max="4" width="7.7265625" bestFit="1" customWidth="1"/>
    <col min="5" max="5" width="17.7265625" bestFit="1" customWidth="1"/>
    <col min="6" max="6" width="36.26953125" customWidth="1"/>
    <col min="7" max="7" width="22" bestFit="1" customWidth="1"/>
    <col min="8" max="8" width="27" bestFit="1" customWidth="1"/>
    <col min="9" max="9" width="21.7265625" customWidth="1"/>
    <col min="10" max="10" width="6.81640625" bestFit="1" customWidth="1"/>
  </cols>
  <sheetData>
    <row r="1" spans="1:10" ht="16" thickBot="1" x14ac:dyDescent="0.4">
      <c r="A1" s="8" t="s">
        <v>363</v>
      </c>
      <c r="B1" s="8" t="s">
        <v>5</v>
      </c>
      <c r="C1" s="8" t="s">
        <v>970</v>
      </c>
      <c r="D1" s="8" t="s">
        <v>955</v>
      </c>
      <c r="E1" s="9" t="s">
        <v>956</v>
      </c>
      <c r="F1" s="8" t="s">
        <v>957</v>
      </c>
      <c r="G1" s="8" t="s">
        <v>958</v>
      </c>
      <c r="H1" s="8" t="s">
        <v>1041</v>
      </c>
      <c r="I1" s="22" t="s">
        <v>1045</v>
      </c>
      <c r="J1" s="29" t="s">
        <v>1046</v>
      </c>
    </row>
    <row r="2" spans="1:10" x14ac:dyDescent="0.35">
      <c r="A2" s="27" t="s">
        <v>783</v>
      </c>
      <c r="B2" s="27" t="s">
        <v>784</v>
      </c>
      <c r="C2" s="3" t="s">
        <v>39</v>
      </c>
      <c r="D2" s="3">
        <f>_xlfn.XLOOKUP(C2,'Territory List'!$D$2:$D$352,'Territory List'!$G$2:$G$352)</f>
        <v>2</v>
      </c>
      <c r="E2" s="23">
        <v>46099</v>
      </c>
      <c r="F2" s="3" t="s">
        <v>1040</v>
      </c>
      <c r="G2" s="3" t="s">
        <v>1040</v>
      </c>
      <c r="H2" s="3" t="s">
        <v>1040</v>
      </c>
      <c r="I2" s="23"/>
      <c r="J2" s="3"/>
    </row>
    <row r="3" spans="1:10" x14ac:dyDescent="0.35">
      <c r="A3" s="28" t="s">
        <v>371</v>
      </c>
      <c r="B3" s="28" t="s">
        <v>372</v>
      </c>
      <c r="C3" s="3" t="s">
        <v>7</v>
      </c>
      <c r="D3" s="3">
        <f>_xlfn.XLOOKUP(C3,'Territory List'!$D$2:$D$352,'Territory List'!$G$2:$G$352)</f>
        <v>2</v>
      </c>
      <c r="E3" s="23">
        <v>46050</v>
      </c>
      <c r="F3" s="3" t="s">
        <v>1040</v>
      </c>
      <c r="G3" s="3">
        <v>3</v>
      </c>
      <c r="H3" s="3" t="s">
        <v>1040</v>
      </c>
      <c r="I3" s="23" t="s">
        <v>1236</v>
      </c>
      <c r="J3" s="3"/>
    </row>
    <row r="4" spans="1:10" x14ac:dyDescent="0.35">
      <c r="A4" s="28" t="s">
        <v>461</v>
      </c>
      <c r="B4" s="28" t="s">
        <v>462</v>
      </c>
      <c r="C4" s="3" t="s">
        <v>12</v>
      </c>
      <c r="D4" s="3">
        <f>_xlfn.XLOOKUP(C4,'Territory List'!$D$2:$D$352,'Territory List'!$G$2:$G$352)</f>
        <v>2</v>
      </c>
      <c r="E4" s="23">
        <v>46140</v>
      </c>
      <c r="F4" s="3" t="s">
        <v>1040</v>
      </c>
      <c r="G4" s="3">
        <v>3</v>
      </c>
      <c r="H4" s="3" t="s">
        <v>1040</v>
      </c>
      <c r="I4" s="23" t="s">
        <v>1249</v>
      </c>
      <c r="J4" s="3"/>
    </row>
    <row r="5" spans="1:10" x14ac:dyDescent="0.35">
      <c r="A5" s="28" t="s">
        <v>481</v>
      </c>
      <c r="B5" s="28" t="s">
        <v>482</v>
      </c>
      <c r="C5" s="3" t="s">
        <v>15</v>
      </c>
      <c r="D5" s="3">
        <f>_xlfn.XLOOKUP(C5,'Territory List'!$D$2:$D$352,'Territory List'!$G$2:$G$352)</f>
        <v>2</v>
      </c>
      <c r="E5" s="23">
        <v>46030</v>
      </c>
      <c r="F5" s="3" t="s">
        <v>1059</v>
      </c>
      <c r="G5" s="3" t="s">
        <v>1040</v>
      </c>
      <c r="H5" s="3" t="s">
        <v>1040</v>
      </c>
      <c r="I5" s="23" t="s">
        <v>1240</v>
      </c>
      <c r="J5" s="3"/>
    </row>
    <row r="6" spans="1:10" x14ac:dyDescent="0.35">
      <c r="A6" s="28" t="s">
        <v>555</v>
      </c>
      <c r="B6" s="28">
        <v>4</v>
      </c>
      <c r="C6" s="23">
        <v>46030</v>
      </c>
      <c r="D6" s="3">
        <v>2</v>
      </c>
      <c r="E6" s="23">
        <v>46030</v>
      </c>
      <c r="F6" s="3" t="s">
        <v>1040</v>
      </c>
      <c r="G6" s="3" t="s">
        <v>1040</v>
      </c>
      <c r="H6" s="3" t="s">
        <v>1040</v>
      </c>
      <c r="I6" s="23" t="s">
        <v>1241</v>
      </c>
    </row>
    <row r="7" spans="1:10" x14ac:dyDescent="0.35">
      <c r="A7" s="28" t="s">
        <v>612</v>
      </c>
      <c r="B7" s="28" t="s">
        <v>24</v>
      </c>
      <c r="C7" s="3" t="s">
        <v>24</v>
      </c>
      <c r="D7" s="3">
        <f>_xlfn.XLOOKUP(C7,'Territory List'!$D$2:$D$352,'Territory List'!$G$2:$G$352)</f>
        <v>2</v>
      </c>
      <c r="E7" s="23" t="s">
        <v>1150</v>
      </c>
      <c r="F7" s="48" t="s">
        <v>1143</v>
      </c>
      <c r="G7" s="3" t="s">
        <v>1040</v>
      </c>
      <c r="H7" s="3" t="s">
        <v>1040</v>
      </c>
      <c r="I7" s="23" t="s">
        <v>1235</v>
      </c>
      <c r="J7" s="3"/>
    </row>
    <row r="8" spans="1:10" x14ac:dyDescent="0.35">
      <c r="A8" s="28" t="s">
        <v>613</v>
      </c>
      <c r="B8" s="28" t="s">
        <v>614</v>
      </c>
      <c r="C8" s="3" t="s">
        <v>24</v>
      </c>
      <c r="D8" s="3">
        <f>_xlfn.XLOOKUP(C8,'Territory List'!$D$2:$D$352,'Territory List'!$G$2:$G$352)</f>
        <v>2</v>
      </c>
      <c r="E8" s="23" t="s">
        <v>1162</v>
      </c>
      <c r="F8" s="3" t="s">
        <v>1144</v>
      </c>
      <c r="G8" s="3" t="s">
        <v>1040</v>
      </c>
      <c r="H8" s="3" t="s">
        <v>1040</v>
      </c>
      <c r="I8" s="23" t="s">
        <v>1264</v>
      </c>
      <c r="J8" s="3"/>
    </row>
    <row r="9" spans="1:10" x14ac:dyDescent="0.35">
      <c r="A9" s="28" t="s">
        <v>707</v>
      </c>
      <c r="B9" s="28" t="s">
        <v>708</v>
      </c>
      <c r="C9" s="3" t="s">
        <v>33</v>
      </c>
      <c r="D9" s="3">
        <f>_xlfn.XLOOKUP(C9,'Territory List'!$D$2:$D$352,'Territory List'!$G$2:$G$352)</f>
        <v>2</v>
      </c>
      <c r="E9" s="23">
        <v>46099</v>
      </c>
      <c r="F9" s="3" t="s">
        <v>1040</v>
      </c>
      <c r="G9" s="3">
        <v>3</v>
      </c>
      <c r="H9" s="3" t="s">
        <v>1040</v>
      </c>
      <c r="I9" s="23" t="s">
        <v>1237</v>
      </c>
      <c r="J9" s="3"/>
    </row>
    <row r="10" spans="1:10" x14ac:dyDescent="0.35">
      <c r="A10" s="28" t="s">
        <v>755</v>
      </c>
      <c r="B10" s="28" t="s">
        <v>756</v>
      </c>
      <c r="C10" s="3" t="s">
        <v>36</v>
      </c>
      <c r="D10" s="3">
        <f>_xlfn.XLOOKUP(C10,'Territory List'!$D$2:$D$352,'Territory List'!$G$2:$G$352)</f>
        <v>2</v>
      </c>
      <c r="E10" s="23">
        <v>46108</v>
      </c>
      <c r="F10" s="3" t="s">
        <v>1051</v>
      </c>
      <c r="G10" s="3">
        <v>2</v>
      </c>
      <c r="H10" s="3" t="s">
        <v>1040</v>
      </c>
      <c r="I10" s="23" t="s">
        <v>1247</v>
      </c>
      <c r="J10" s="3">
        <v>1</v>
      </c>
    </row>
    <row r="11" spans="1:10" x14ac:dyDescent="0.35">
      <c r="A11" s="28" t="s">
        <v>916</v>
      </c>
      <c r="B11" s="30" t="s">
        <v>917</v>
      </c>
      <c r="C11" s="3" t="s">
        <v>49</v>
      </c>
      <c r="D11" s="3">
        <f>_xlfn.XLOOKUP(C11,'Territory List'!$D$2:$D$352,'Territory List'!$G$2:$G$352)</f>
        <v>2</v>
      </c>
      <c r="E11" s="23" t="s">
        <v>1068</v>
      </c>
      <c r="F11" s="3" t="s">
        <v>1062</v>
      </c>
      <c r="G11" s="3" t="s">
        <v>1040</v>
      </c>
      <c r="H11" s="3" t="s">
        <v>1040</v>
      </c>
      <c r="I11" s="23" t="s">
        <v>1238</v>
      </c>
      <c r="J11" s="3"/>
    </row>
    <row r="12" spans="1:10" x14ac:dyDescent="0.35">
      <c r="A12" s="28" t="s">
        <v>922</v>
      </c>
      <c r="B12" s="28" t="s">
        <v>923</v>
      </c>
      <c r="C12" s="3" t="s">
        <v>50</v>
      </c>
      <c r="D12" s="3">
        <f>_xlfn.XLOOKUP(C12,'Territory List'!$D$2:$D$352,'Territory List'!$G$2:$G$352)</f>
        <v>2</v>
      </c>
      <c r="E12" s="23" t="s">
        <v>1151</v>
      </c>
      <c r="F12" s="3" t="s">
        <v>1040</v>
      </c>
      <c r="G12" s="3">
        <v>3</v>
      </c>
      <c r="H12" s="3" t="s">
        <v>1040</v>
      </c>
      <c r="I12" s="23" t="s">
        <v>1251</v>
      </c>
      <c r="J12" s="3">
        <v>1</v>
      </c>
    </row>
    <row r="13" spans="1:10" x14ac:dyDescent="0.35">
      <c r="A13" s="28"/>
      <c r="B13" s="28"/>
      <c r="C13" s="3"/>
      <c r="D13" s="3"/>
      <c r="E13" s="10"/>
      <c r="F13" s="3"/>
      <c r="G13" s="3"/>
      <c r="H13" s="3"/>
      <c r="J13" s="3"/>
    </row>
    <row r="14" spans="1:10" x14ac:dyDescent="0.35">
      <c r="A14" s="28"/>
      <c r="B14" s="28"/>
      <c r="C14" s="3"/>
      <c r="D14" s="3"/>
      <c r="E14" s="10"/>
      <c r="F14" s="3"/>
      <c r="G14" s="3"/>
      <c r="H14" s="3"/>
      <c r="I14" s="23"/>
      <c r="J14" s="3"/>
    </row>
    <row r="15" spans="1:10" x14ac:dyDescent="0.35">
      <c r="A15" s="28"/>
      <c r="B15" s="28"/>
      <c r="C15" s="3"/>
      <c r="D15" s="3"/>
      <c r="E15" s="10"/>
      <c r="F15" s="3"/>
      <c r="G15" s="3"/>
      <c r="H15" s="3"/>
      <c r="I15" s="23"/>
      <c r="J15" s="3"/>
    </row>
    <row r="16" spans="1:10" x14ac:dyDescent="0.35">
      <c r="A16" s="15"/>
      <c r="B16" s="15"/>
      <c r="D16" s="3"/>
      <c r="E16" s="14"/>
      <c r="F16" s="3"/>
      <c r="G16" s="3"/>
      <c r="H16" s="3"/>
      <c r="I16" s="23"/>
    </row>
  </sheetData>
  <conditionalFormatting sqref="A6:C6 E6:F6">
    <cfRule type="expression" dxfId="31" priority="2">
      <formula>$H6 = 1</formula>
    </cfRule>
  </conditionalFormatting>
  <conditionalFormatting sqref="A2:J5 A7:J11 A12:H13 A14:J16 D6 J12:J13">
    <cfRule type="expression" dxfId="30" priority="4">
      <formula>$J2 = 1</formula>
    </cfRule>
  </conditionalFormatting>
  <conditionalFormatting sqref="G6:I6">
    <cfRule type="expression" dxfId="29" priority="1">
      <formula>$J6 = 1</formula>
    </cfRule>
  </conditionalFormatting>
  <conditionalFormatting sqref="I2:I12 E2:E5 E7:E12 I14:I16">
    <cfRule type="cellIs" dxfId="28" priority="3" operator="equal">
      <formula>"text"</formula>
    </cfRule>
  </conditionalFormatting>
  <conditionalFormatting sqref="I12">
    <cfRule type="expression" dxfId="27" priority="17">
      <formula>$J13 = 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1FF9-3E15-4C00-8C44-73C739AAC623}">
  <dimension ref="A1:I28"/>
  <sheetViews>
    <sheetView zoomScaleNormal="100" workbookViewId="0">
      <selection activeCell="A29" sqref="A29"/>
    </sheetView>
  </sheetViews>
  <sheetFormatPr defaultRowHeight="14.5" x14ac:dyDescent="0.35"/>
  <cols>
    <col min="1" max="1" width="38.26953125" bestFit="1" customWidth="1"/>
    <col min="2" max="2" width="7.7265625" bestFit="1" customWidth="1"/>
    <col min="3" max="3" width="22" style="26" bestFit="1" customWidth="1"/>
    <col min="4" max="4" width="51.26953125" style="3" bestFit="1" customWidth="1"/>
    <col min="5" max="5" width="22" bestFit="1" customWidth="1"/>
    <col min="6" max="6" width="27" bestFit="1" customWidth="1"/>
    <col min="7" max="7" width="21" customWidth="1"/>
    <col min="8" max="8" width="19.26953125" customWidth="1"/>
  </cols>
  <sheetData>
    <row r="1" spans="1:9" ht="16" thickBot="1" x14ac:dyDescent="0.4">
      <c r="A1" s="8" t="s">
        <v>363</v>
      </c>
      <c r="B1" s="8" t="s">
        <v>955</v>
      </c>
      <c r="C1" s="25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</row>
    <row r="2" spans="1:9" x14ac:dyDescent="0.35">
      <c r="A2" s="27" t="s">
        <v>373</v>
      </c>
      <c r="B2" s="27">
        <v>3</v>
      </c>
      <c r="C2" s="3" t="s">
        <v>1069</v>
      </c>
      <c r="D2" s="3" t="s">
        <v>971</v>
      </c>
      <c r="E2" s="3">
        <v>3</v>
      </c>
      <c r="F2" s="3" t="s">
        <v>1040</v>
      </c>
      <c r="G2" s="3"/>
      <c r="H2" s="3"/>
    </row>
    <row r="3" spans="1:9" x14ac:dyDescent="0.35">
      <c r="A3" s="28" t="s">
        <v>834</v>
      </c>
      <c r="B3" s="28">
        <v>3</v>
      </c>
      <c r="C3" s="50">
        <v>46195.479166666664</v>
      </c>
      <c r="D3" s="3" t="s">
        <v>1219</v>
      </c>
      <c r="E3" s="3" t="s">
        <v>1018</v>
      </c>
      <c r="F3" s="3" t="s">
        <v>1043</v>
      </c>
      <c r="G3" s="50"/>
      <c r="H3" s="3">
        <v>1</v>
      </c>
      <c r="I3" s="3"/>
    </row>
    <row r="4" spans="1:9" x14ac:dyDescent="0.35">
      <c r="A4" s="28" t="s">
        <v>467</v>
      </c>
      <c r="B4" s="28">
        <v>3</v>
      </c>
      <c r="C4" s="3" t="s">
        <v>1103</v>
      </c>
      <c r="D4" s="5" t="s">
        <v>1120</v>
      </c>
      <c r="E4" s="3" t="s">
        <v>1040</v>
      </c>
      <c r="F4" s="3" t="s">
        <v>1040</v>
      </c>
      <c r="G4" s="3"/>
      <c r="H4" s="3"/>
    </row>
    <row r="5" spans="1:9" x14ac:dyDescent="0.35">
      <c r="A5" s="28" t="s">
        <v>506</v>
      </c>
      <c r="B5" s="28">
        <v>3</v>
      </c>
      <c r="C5" s="3" t="s">
        <v>1111</v>
      </c>
      <c r="D5" s="3" t="s">
        <v>1040</v>
      </c>
      <c r="E5" s="3" t="s">
        <v>1040</v>
      </c>
      <c r="F5" s="3" t="s">
        <v>1040</v>
      </c>
      <c r="G5" s="3" t="s">
        <v>1259</v>
      </c>
      <c r="H5" s="3"/>
    </row>
    <row r="6" spans="1:9" x14ac:dyDescent="0.35">
      <c r="A6" s="28" t="s">
        <v>587</v>
      </c>
      <c r="B6" s="28">
        <v>3</v>
      </c>
      <c r="C6" s="3" t="s">
        <v>1172</v>
      </c>
      <c r="D6" s="3" t="s">
        <v>1040</v>
      </c>
      <c r="E6" s="3" t="s">
        <v>1040</v>
      </c>
      <c r="F6" s="3" t="s">
        <v>1043</v>
      </c>
      <c r="G6" s="3"/>
      <c r="H6" s="3"/>
    </row>
    <row r="7" spans="1:9" x14ac:dyDescent="0.35">
      <c r="A7" s="28" t="s">
        <v>568</v>
      </c>
      <c r="B7" s="28">
        <v>3</v>
      </c>
      <c r="C7" s="3" t="s">
        <v>1193</v>
      </c>
      <c r="D7" s="3" t="s">
        <v>1040</v>
      </c>
      <c r="E7" s="3" t="s">
        <v>1040</v>
      </c>
      <c r="F7" s="3" t="s">
        <v>1040</v>
      </c>
      <c r="G7" s="3"/>
      <c r="H7" s="3"/>
    </row>
    <row r="8" spans="1:9" x14ac:dyDescent="0.35">
      <c r="A8" s="28" t="s">
        <v>583</v>
      </c>
      <c r="B8" s="28">
        <v>3</v>
      </c>
      <c r="C8" s="3" t="s">
        <v>1128</v>
      </c>
      <c r="D8" s="3" t="s">
        <v>1040</v>
      </c>
      <c r="E8" s="3" t="s">
        <v>1040</v>
      </c>
      <c r="F8" s="3" t="s">
        <v>1040</v>
      </c>
      <c r="G8" s="3" t="s">
        <v>1261</v>
      </c>
      <c r="H8" s="3"/>
    </row>
    <row r="9" spans="1:9" x14ac:dyDescent="0.35">
      <c r="A9" s="28" t="s">
        <v>533</v>
      </c>
      <c r="B9" s="28">
        <v>3</v>
      </c>
      <c r="C9" s="23">
        <v>46076</v>
      </c>
      <c r="D9" s="3" t="s">
        <v>1040</v>
      </c>
      <c r="E9" s="3">
        <v>13</v>
      </c>
      <c r="F9" s="3" t="s">
        <v>1042</v>
      </c>
      <c r="G9" s="23"/>
      <c r="H9" s="3"/>
    </row>
    <row r="10" spans="1:9" x14ac:dyDescent="0.35">
      <c r="A10" s="28" t="s">
        <v>543</v>
      </c>
      <c r="B10" s="28">
        <v>3</v>
      </c>
      <c r="C10" s="3" t="s">
        <v>1040</v>
      </c>
      <c r="D10" s="3" t="s">
        <v>1164</v>
      </c>
      <c r="E10" s="3">
        <v>14</v>
      </c>
      <c r="F10" s="3" t="s">
        <v>1043</v>
      </c>
      <c r="G10" s="3"/>
      <c r="H10" s="3"/>
      <c r="I10" s="3"/>
    </row>
    <row r="11" spans="1:9" x14ac:dyDescent="0.35">
      <c r="A11" s="28" t="s">
        <v>718</v>
      </c>
      <c r="B11" s="28">
        <v>3</v>
      </c>
      <c r="C11" s="3" t="s">
        <v>1040</v>
      </c>
      <c r="D11" s="3" t="s">
        <v>972</v>
      </c>
      <c r="E11" s="3" t="s">
        <v>1040</v>
      </c>
      <c r="F11" s="3" t="s">
        <v>1040</v>
      </c>
      <c r="G11" s="3"/>
      <c r="H11" s="3"/>
      <c r="I11" s="3"/>
    </row>
    <row r="12" spans="1:9" x14ac:dyDescent="0.35">
      <c r="A12" s="28" t="s">
        <v>818</v>
      </c>
      <c r="B12" s="28">
        <v>3</v>
      </c>
      <c r="C12" s="3" t="s">
        <v>1112</v>
      </c>
      <c r="D12" s="3" t="s">
        <v>973</v>
      </c>
      <c r="E12" s="3" t="s">
        <v>1040</v>
      </c>
      <c r="F12" s="3" t="s">
        <v>1040</v>
      </c>
      <c r="G12" s="3"/>
      <c r="H12" s="3"/>
    </row>
    <row r="13" spans="1:9" x14ac:dyDescent="0.35">
      <c r="A13" s="28" t="s">
        <v>820</v>
      </c>
      <c r="B13" s="28">
        <v>3</v>
      </c>
      <c r="C13" s="23">
        <v>46051</v>
      </c>
      <c r="D13" s="3" t="s">
        <v>1267</v>
      </c>
      <c r="E13" s="3" t="s">
        <v>1040</v>
      </c>
      <c r="F13" s="3" t="s">
        <v>1040</v>
      </c>
      <c r="G13" s="23"/>
      <c r="H13" s="3"/>
    </row>
    <row r="14" spans="1:9" x14ac:dyDescent="0.35">
      <c r="A14" s="28" t="s">
        <v>822</v>
      </c>
      <c r="B14" s="28">
        <v>3</v>
      </c>
      <c r="C14" s="23" t="s">
        <v>1193</v>
      </c>
      <c r="D14" s="3" t="s">
        <v>1040</v>
      </c>
      <c r="E14" s="3" t="s">
        <v>1040</v>
      </c>
      <c r="F14" s="3" t="s">
        <v>1040</v>
      </c>
      <c r="G14" s="23"/>
      <c r="H14" s="3"/>
      <c r="I14" s="3"/>
    </row>
    <row r="15" spans="1:9" x14ac:dyDescent="0.35">
      <c r="A15" s="27" t="s">
        <v>830</v>
      </c>
      <c r="B15" s="27">
        <v>3</v>
      </c>
      <c r="C15" s="23" t="s">
        <v>1064</v>
      </c>
      <c r="D15" s="3" t="s">
        <v>974</v>
      </c>
      <c r="E15" s="3">
        <v>20</v>
      </c>
      <c r="F15" s="3" t="s">
        <v>1040</v>
      </c>
      <c r="G15" s="23"/>
      <c r="H15" s="3"/>
    </row>
    <row r="16" spans="1:9" x14ac:dyDescent="0.35">
      <c r="A16" s="28" t="s">
        <v>853</v>
      </c>
      <c r="B16" s="28">
        <v>3</v>
      </c>
      <c r="C16" s="3" t="s">
        <v>1126</v>
      </c>
      <c r="D16" s="3" t="s">
        <v>1040</v>
      </c>
      <c r="E16" s="3" t="s">
        <v>1040</v>
      </c>
      <c r="F16" s="3" t="s">
        <v>1040</v>
      </c>
      <c r="G16" s="3"/>
      <c r="H16" s="3"/>
    </row>
    <row r="17" spans="1:8" x14ac:dyDescent="0.35">
      <c r="A17" s="27" t="s">
        <v>487</v>
      </c>
      <c r="B17" s="28">
        <v>3</v>
      </c>
      <c r="C17" s="23">
        <v>46035</v>
      </c>
      <c r="E17" s="3">
        <v>3</v>
      </c>
      <c r="F17" s="3" t="s">
        <v>1040</v>
      </c>
      <c r="G17" s="23"/>
      <c r="H17" s="3"/>
    </row>
    <row r="18" spans="1:8" x14ac:dyDescent="0.35">
      <c r="A18" s="28" t="s">
        <v>545</v>
      </c>
      <c r="B18" s="27">
        <v>3</v>
      </c>
      <c r="C18" s="23">
        <v>46030</v>
      </c>
      <c r="D18" s="3" t="s">
        <v>1040</v>
      </c>
      <c r="E18" s="3" t="s">
        <v>1040</v>
      </c>
      <c r="F18" s="3" t="s">
        <v>1040</v>
      </c>
      <c r="G18" s="23"/>
      <c r="H18" s="3"/>
    </row>
    <row r="19" spans="1:8" x14ac:dyDescent="0.35">
      <c r="A19" s="28" t="s">
        <v>816</v>
      </c>
      <c r="B19" s="28">
        <v>3</v>
      </c>
      <c r="C19" s="23">
        <v>46035</v>
      </c>
      <c r="D19" s="3" t="s">
        <v>1040</v>
      </c>
      <c r="E19" s="3" t="s">
        <v>1040</v>
      </c>
      <c r="F19" s="3" t="s">
        <v>1040</v>
      </c>
      <c r="G19" s="23"/>
      <c r="H19" s="3"/>
    </row>
    <row r="20" spans="1:8" x14ac:dyDescent="0.35">
      <c r="A20" s="28" t="s">
        <v>899</v>
      </c>
      <c r="B20" s="28">
        <v>3</v>
      </c>
      <c r="C20" s="3" t="s">
        <v>1080</v>
      </c>
      <c r="D20" s="3" t="s">
        <v>1063</v>
      </c>
      <c r="E20" s="3" t="s">
        <v>1040</v>
      </c>
      <c r="F20" s="3" t="s">
        <v>1040</v>
      </c>
      <c r="G20" s="45" t="s">
        <v>1257</v>
      </c>
      <c r="H20" s="3"/>
    </row>
    <row r="21" spans="1:8" x14ac:dyDescent="0.35">
      <c r="A21" s="28" t="s">
        <v>909</v>
      </c>
      <c r="B21" s="28">
        <v>3</v>
      </c>
      <c r="C21" s="23">
        <v>46035</v>
      </c>
      <c r="D21" s="3" t="s">
        <v>1040</v>
      </c>
      <c r="E21" s="3" t="s">
        <v>1040</v>
      </c>
      <c r="F21" s="3" t="s">
        <v>1040</v>
      </c>
      <c r="G21" s="23"/>
      <c r="H21" s="3"/>
    </row>
    <row r="22" spans="1:8" x14ac:dyDescent="0.35">
      <c r="A22" s="28" t="s">
        <v>465</v>
      </c>
      <c r="B22" s="28">
        <v>3</v>
      </c>
      <c r="C22" s="23">
        <v>46168</v>
      </c>
      <c r="D22" s="3" t="s">
        <v>1040</v>
      </c>
      <c r="E22" s="3" t="s">
        <v>1040</v>
      </c>
      <c r="F22" s="3" t="s">
        <v>1040</v>
      </c>
      <c r="G22" s="23"/>
      <c r="H22" s="3"/>
    </row>
    <row r="23" spans="1:8" x14ac:dyDescent="0.35">
      <c r="A23" s="28"/>
      <c r="B23" s="28"/>
      <c r="C23" s="23"/>
      <c r="E23" s="3"/>
      <c r="F23" s="3"/>
      <c r="G23" s="3"/>
      <c r="H23" s="3"/>
    </row>
    <row r="24" spans="1:8" x14ac:dyDescent="0.35">
      <c r="A24" s="28"/>
      <c r="B24" s="28"/>
      <c r="C24" s="23"/>
      <c r="E24" s="3"/>
      <c r="F24" s="3"/>
      <c r="G24" s="3"/>
      <c r="H24" s="3"/>
    </row>
    <row r="25" spans="1:8" x14ac:dyDescent="0.35">
      <c r="A25" s="4"/>
      <c r="B25" s="4"/>
      <c r="F25" s="3"/>
      <c r="G25" s="3"/>
      <c r="H25" s="3"/>
    </row>
    <row r="26" spans="1:8" x14ac:dyDescent="0.35">
      <c r="E26" s="3"/>
      <c r="F26" s="3"/>
    </row>
    <row r="27" spans="1:8" x14ac:dyDescent="0.35">
      <c r="E27" s="3"/>
      <c r="F27" s="3"/>
    </row>
    <row r="28" spans="1:8" x14ac:dyDescent="0.35">
      <c r="E28" s="3"/>
      <c r="F28" s="3"/>
    </row>
  </sheetData>
  <conditionalFormatting sqref="A2:H25">
    <cfRule type="expression" dxfId="26" priority="1">
      <formula>$H2 = 1</formula>
    </cfRule>
  </conditionalFormatting>
  <conditionalFormatting sqref="I3 I10:I11 I14">
    <cfRule type="expression" dxfId="25" priority="2">
      <formula>$H3 = 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02FE-17CC-414D-A22A-2ED7039500FE}">
  <dimension ref="A1:I30"/>
  <sheetViews>
    <sheetView zoomScaleNormal="100" workbookViewId="0">
      <selection activeCell="A21" sqref="A21"/>
    </sheetView>
  </sheetViews>
  <sheetFormatPr defaultRowHeight="14.5" x14ac:dyDescent="0.35"/>
  <cols>
    <col min="1" max="1" width="31.26953125" bestFit="1" customWidth="1"/>
    <col min="2" max="2" width="7.7265625" bestFit="1" customWidth="1"/>
    <col min="3" max="3" width="17.7265625" style="26" bestFit="1" customWidth="1"/>
    <col min="4" max="4" width="50" bestFit="1" customWidth="1"/>
    <col min="5" max="5" width="22" bestFit="1" customWidth="1"/>
    <col min="6" max="6" width="27" bestFit="1" customWidth="1"/>
    <col min="7" max="7" width="17.26953125" bestFit="1" customWidth="1"/>
    <col min="8" max="8" width="16" customWidth="1"/>
    <col min="9" max="9" width="25.26953125" customWidth="1"/>
  </cols>
  <sheetData>
    <row r="1" spans="1:9" ht="16" thickBot="1" x14ac:dyDescent="0.4">
      <c r="A1" s="8" t="s">
        <v>363</v>
      </c>
      <c r="B1" s="8" t="s">
        <v>955</v>
      </c>
      <c r="C1" s="25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</row>
    <row r="2" spans="1:9" x14ac:dyDescent="0.35">
      <c r="A2" s="28" t="s">
        <v>539</v>
      </c>
      <c r="B2" s="28">
        <v>4</v>
      </c>
      <c r="C2" s="3" t="s">
        <v>1113</v>
      </c>
      <c r="D2" s="3" t="s">
        <v>1040</v>
      </c>
      <c r="E2" s="3" t="s">
        <v>1040</v>
      </c>
      <c r="F2" s="3" t="s">
        <v>1040</v>
      </c>
      <c r="G2" s="3"/>
      <c r="H2" s="3"/>
    </row>
    <row r="3" spans="1:9" x14ac:dyDescent="0.35">
      <c r="A3" s="28" t="s">
        <v>552</v>
      </c>
      <c r="B3" s="28">
        <v>4</v>
      </c>
      <c r="C3" s="3" t="s">
        <v>1081</v>
      </c>
      <c r="D3" s="3" t="s">
        <v>1040</v>
      </c>
      <c r="E3" s="3" t="s">
        <v>1040</v>
      </c>
      <c r="F3" s="3" t="s">
        <v>1040</v>
      </c>
      <c r="G3" s="3" t="s">
        <v>1257</v>
      </c>
      <c r="H3" s="3"/>
    </row>
    <row r="4" spans="1:9" x14ac:dyDescent="0.35">
      <c r="A4" s="28" t="s">
        <v>691</v>
      </c>
      <c r="B4" s="28">
        <v>4</v>
      </c>
      <c r="C4" s="3" t="s">
        <v>1114</v>
      </c>
      <c r="D4" s="3" t="s">
        <v>1040</v>
      </c>
      <c r="E4" s="3" t="s">
        <v>1040</v>
      </c>
      <c r="F4" s="3" t="s">
        <v>1040</v>
      </c>
      <c r="G4" s="3"/>
      <c r="H4" s="3"/>
    </row>
    <row r="5" spans="1:9" x14ac:dyDescent="0.35">
      <c r="A5" s="28" t="s">
        <v>383</v>
      </c>
      <c r="B5" s="28">
        <v>4</v>
      </c>
      <c r="C5" s="3" t="s">
        <v>1085</v>
      </c>
      <c r="D5" s="3" t="s">
        <v>1040</v>
      </c>
      <c r="E5" s="3">
        <v>3</v>
      </c>
      <c r="F5" s="3" t="s">
        <v>1040</v>
      </c>
      <c r="G5" s="3"/>
      <c r="H5" s="3"/>
    </row>
    <row r="6" spans="1:9" x14ac:dyDescent="0.35">
      <c r="A6" s="28" t="s">
        <v>414</v>
      </c>
      <c r="B6" s="28">
        <v>4</v>
      </c>
      <c r="C6" s="3" t="s">
        <v>1083</v>
      </c>
      <c r="D6" s="3" t="s">
        <v>1040</v>
      </c>
      <c r="E6" s="3" t="s">
        <v>1040</v>
      </c>
      <c r="F6" s="3" t="s">
        <v>1040</v>
      </c>
      <c r="G6" s="3"/>
      <c r="H6" s="3"/>
    </row>
    <row r="7" spans="1:9" x14ac:dyDescent="0.35">
      <c r="A7" s="28" t="s">
        <v>475</v>
      </c>
      <c r="B7" s="28">
        <v>4</v>
      </c>
      <c r="C7" s="23">
        <v>46071</v>
      </c>
      <c r="D7" s="3" t="s">
        <v>1040</v>
      </c>
      <c r="E7" s="3" t="s">
        <v>1040</v>
      </c>
      <c r="F7" s="3" t="s">
        <v>1040</v>
      </c>
      <c r="G7" s="23"/>
      <c r="H7" s="3"/>
    </row>
    <row r="8" spans="1:9" x14ac:dyDescent="0.35">
      <c r="A8" s="28" t="s">
        <v>478</v>
      </c>
      <c r="B8" s="28">
        <v>4</v>
      </c>
      <c r="C8" s="23">
        <v>46035</v>
      </c>
      <c r="D8" s="3" t="s">
        <v>1040</v>
      </c>
      <c r="E8" s="3" t="s">
        <v>1040</v>
      </c>
      <c r="F8" s="3" t="s">
        <v>1040</v>
      </c>
      <c r="G8" s="23"/>
      <c r="H8" s="3"/>
      <c r="I8" s="3"/>
    </row>
    <row r="9" spans="1:9" x14ac:dyDescent="0.35">
      <c r="A9" s="28" t="s">
        <v>513</v>
      </c>
      <c r="B9" s="28">
        <v>4</v>
      </c>
      <c r="C9" s="3" t="s">
        <v>1040</v>
      </c>
      <c r="D9" s="3"/>
      <c r="E9" s="3">
        <v>3</v>
      </c>
      <c r="F9" s="3" t="s">
        <v>1040</v>
      </c>
      <c r="G9" s="3"/>
      <c r="H9" s="3"/>
    </row>
    <row r="10" spans="1:9" x14ac:dyDescent="0.35">
      <c r="A10" s="28" t="s">
        <v>550</v>
      </c>
      <c r="B10" s="28">
        <v>4</v>
      </c>
      <c r="C10" s="3" t="s">
        <v>1108</v>
      </c>
      <c r="D10" s="3" t="s">
        <v>1040</v>
      </c>
      <c r="E10" s="3" t="s">
        <v>1040</v>
      </c>
      <c r="F10" s="3" t="s">
        <v>1040</v>
      </c>
      <c r="G10" s="3"/>
      <c r="H10" s="3"/>
    </row>
    <row r="11" spans="1:9" x14ac:dyDescent="0.35">
      <c r="A11" s="27" t="s">
        <v>625</v>
      </c>
      <c r="B11" s="27">
        <v>4</v>
      </c>
      <c r="C11" s="3" t="s">
        <v>1080</v>
      </c>
      <c r="D11" s="3" t="s">
        <v>1040</v>
      </c>
      <c r="E11" s="3" t="s">
        <v>1040</v>
      </c>
      <c r="F11" s="3" t="s">
        <v>1040</v>
      </c>
      <c r="G11" s="3" t="s">
        <v>1257</v>
      </c>
      <c r="H11" s="3"/>
    </row>
    <row r="12" spans="1:9" x14ac:dyDescent="0.35">
      <c r="A12" s="28" t="s">
        <v>702</v>
      </c>
      <c r="B12" s="28">
        <v>4</v>
      </c>
      <c r="C12" s="3" t="s">
        <v>1165</v>
      </c>
      <c r="D12" s="3" t="s">
        <v>1040</v>
      </c>
      <c r="E12" s="3">
        <v>1</v>
      </c>
      <c r="F12" s="3" t="s">
        <v>1040</v>
      </c>
      <c r="G12" s="3"/>
      <c r="H12" s="3"/>
    </row>
    <row r="13" spans="1:9" x14ac:dyDescent="0.35">
      <c r="A13" s="28" t="s">
        <v>721</v>
      </c>
      <c r="B13" s="28">
        <v>4</v>
      </c>
      <c r="C13" s="23">
        <v>46077</v>
      </c>
      <c r="D13" s="3" t="s">
        <v>1040</v>
      </c>
      <c r="E13" s="3" t="s">
        <v>1040</v>
      </c>
      <c r="F13" s="3" t="s">
        <v>1040</v>
      </c>
      <c r="G13" s="23"/>
      <c r="H13" s="3"/>
    </row>
    <row r="14" spans="1:9" x14ac:dyDescent="0.35">
      <c r="A14" s="28" t="s">
        <v>732</v>
      </c>
      <c r="B14" s="28">
        <v>4</v>
      </c>
      <c r="C14" s="3" t="s">
        <v>1081</v>
      </c>
      <c r="D14" s="3"/>
      <c r="E14" s="3">
        <v>3</v>
      </c>
      <c r="F14" s="3" t="s">
        <v>1040</v>
      </c>
      <c r="G14" s="3" t="s">
        <v>1257</v>
      </c>
      <c r="H14" s="3"/>
    </row>
    <row r="15" spans="1:9" x14ac:dyDescent="0.35">
      <c r="A15" s="28" t="s">
        <v>769</v>
      </c>
      <c r="B15" s="28">
        <v>4</v>
      </c>
      <c r="C15" s="3" t="s">
        <v>1091</v>
      </c>
      <c r="D15" s="3" t="s">
        <v>1040</v>
      </c>
      <c r="E15" s="3" t="s">
        <v>1040</v>
      </c>
      <c r="F15" s="3" t="s">
        <v>1040</v>
      </c>
      <c r="G15" s="3"/>
      <c r="H15" s="3"/>
    </row>
    <row r="16" spans="1:9" x14ac:dyDescent="0.35">
      <c r="A16" s="28" t="s">
        <v>745</v>
      </c>
      <c r="B16" s="28">
        <v>4</v>
      </c>
      <c r="C16" s="3" t="s">
        <v>1182</v>
      </c>
      <c r="D16" s="3" t="s">
        <v>1040</v>
      </c>
      <c r="E16" s="3" t="s">
        <v>1040</v>
      </c>
      <c r="F16" s="3" t="s">
        <v>1040</v>
      </c>
      <c r="G16" s="3"/>
      <c r="H16" s="3"/>
      <c r="I16" s="3"/>
    </row>
    <row r="17" spans="1:8" x14ac:dyDescent="0.35">
      <c r="A17" s="28" t="s">
        <v>438</v>
      </c>
      <c r="B17" s="28">
        <v>4</v>
      </c>
      <c r="C17" s="3" t="s">
        <v>1118</v>
      </c>
      <c r="D17" s="3" t="s">
        <v>1040</v>
      </c>
      <c r="E17" s="3" t="s">
        <v>1040</v>
      </c>
      <c r="F17" s="3" t="s">
        <v>1040</v>
      </c>
      <c r="G17" s="3"/>
      <c r="H17" s="3"/>
    </row>
    <row r="18" spans="1:8" x14ac:dyDescent="0.35">
      <c r="A18" s="28" t="s">
        <v>688</v>
      </c>
      <c r="B18" s="28">
        <v>4</v>
      </c>
      <c r="C18" s="23">
        <v>46092</v>
      </c>
      <c r="D18" s="3" t="s">
        <v>975</v>
      </c>
      <c r="E18" s="3">
        <v>20</v>
      </c>
      <c r="F18" s="3" t="s">
        <v>1043</v>
      </c>
      <c r="G18" s="23"/>
      <c r="H18" s="3"/>
    </row>
    <row r="19" spans="1:8" x14ac:dyDescent="0.35">
      <c r="A19" s="27" t="s">
        <v>802</v>
      </c>
      <c r="B19" s="27">
        <v>4</v>
      </c>
      <c r="C19" s="3" t="s">
        <v>1090</v>
      </c>
      <c r="D19" s="3" t="s">
        <v>1040</v>
      </c>
      <c r="E19" s="3" t="s">
        <v>1040</v>
      </c>
      <c r="F19" s="3" t="s">
        <v>1040</v>
      </c>
      <c r="G19" s="3"/>
      <c r="H19" s="3"/>
    </row>
    <row r="20" spans="1:8" x14ac:dyDescent="0.35">
      <c r="A20" s="28" t="s">
        <v>809</v>
      </c>
      <c r="B20" s="28">
        <v>4</v>
      </c>
      <c r="C20" s="3" t="s">
        <v>1081</v>
      </c>
      <c r="D20" s="3" t="s">
        <v>1040</v>
      </c>
      <c r="E20" s="3" t="s">
        <v>1040</v>
      </c>
      <c r="F20" s="3" t="s">
        <v>1040</v>
      </c>
      <c r="G20" s="3" t="s">
        <v>1257</v>
      </c>
      <c r="H20" s="3"/>
    </row>
    <row r="21" spans="1:8" x14ac:dyDescent="0.35">
      <c r="A21" s="28" t="s">
        <v>886</v>
      </c>
      <c r="B21" s="28">
        <v>4</v>
      </c>
      <c r="C21" s="3" t="s">
        <v>1080</v>
      </c>
      <c r="D21" s="3" t="s">
        <v>976</v>
      </c>
      <c r="E21" s="3">
        <v>3</v>
      </c>
      <c r="F21" s="3" t="s">
        <v>1040</v>
      </c>
      <c r="G21" s="3" t="s">
        <v>1258</v>
      </c>
      <c r="H21" s="3"/>
    </row>
    <row r="22" spans="1:8" x14ac:dyDescent="0.35">
      <c r="A22" s="28"/>
      <c r="B22" s="28"/>
      <c r="C22" s="23"/>
      <c r="D22" s="3"/>
      <c r="E22" s="3"/>
      <c r="F22" s="3"/>
      <c r="G22" s="3"/>
      <c r="H22" s="3"/>
    </row>
    <row r="23" spans="1:8" x14ac:dyDescent="0.35">
      <c r="A23" s="28"/>
      <c r="B23" s="28"/>
      <c r="C23" s="23"/>
      <c r="D23" s="3"/>
      <c r="E23" s="3"/>
      <c r="F23" s="3"/>
      <c r="G23" s="3"/>
      <c r="H23" s="3"/>
    </row>
    <row r="24" spans="1:8" x14ac:dyDescent="0.35">
      <c r="A24" s="4"/>
      <c r="B24" s="4"/>
      <c r="D24" s="3"/>
      <c r="F24" s="3"/>
      <c r="G24" s="3"/>
      <c r="H24" s="3"/>
    </row>
    <row r="25" spans="1:8" x14ac:dyDescent="0.35">
      <c r="A25" s="4"/>
      <c r="B25" s="4"/>
      <c r="D25" s="3"/>
      <c r="F25" s="3"/>
      <c r="G25" s="3"/>
      <c r="H25" s="3"/>
    </row>
    <row r="26" spans="1:8" x14ac:dyDescent="0.35">
      <c r="A26" s="4"/>
      <c r="B26" s="4"/>
      <c r="D26" s="3"/>
      <c r="F26" s="3"/>
      <c r="G26" s="3"/>
      <c r="H26" s="3"/>
    </row>
    <row r="27" spans="1:8" x14ac:dyDescent="0.35">
      <c r="A27" s="4"/>
      <c r="B27" s="4"/>
      <c r="D27" s="3"/>
      <c r="F27" s="3"/>
      <c r="G27" s="3"/>
      <c r="H27" s="3"/>
    </row>
    <row r="28" spans="1:8" x14ac:dyDescent="0.35">
      <c r="A28" s="4"/>
      <c r="B28" s="4"/>
      <c r="D28" s="3"/>
      <c r="F28" s="3"/>
      <c r="G28" s="3"/>
      <c r="H28" s="3"/>
    </row>
    <row r="29" spans="1:8" x14ac:dyDescent="0.35">
      <c r="E29" s="3"/>
      <c r="F29" s="3"/>
    </row>
    <row r="30" spans="1:8" x14ac:dyDescent="0.35">
      <c r="E30" s="3"/>
      <c r="F30" s="3"/>
    </row>
  </sheetData>
  <conditionalFormatting sqref="A2:H28 I8 I16">
    <cfRule type="expression" dxfId="24" priority="1">
      <formula>$H2 = 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665-E845-4147-8731-A9E5BB9CA3A5}">
  <dimension ref="A1:I33"/>
  <sheetViews>
    <sheetView zoomScaleNormal="100" workbookViewId="0">
      <selection activeCell="A5" sqref="A5:XFD5"/>
    </sheetView>
  </sheetViews>
  <sheetFormatPr defaultRowHeight="14.5" x14ac:dyDescent="0.35"/>
  <cols>
    <col min="1" max="1" width="37.26953125" bestFit="1" customWidth="1"/>
    <col min="2" max="2" width="7.7265625" bestFit="1" customWidth="1"/>
    <col min="3" max="3" width="14.81640625" bestFit="1" customWidth="1"/>
    <col min="4" max="4" width="47.7265625" bestFit="1" customWidth="1"/>
    <col min="5" max="5" width="22" bestFit="1" customWidth="1"/>
    <col min="6" max="6" width="27" bestFit="1" customWidth="1"/>
    <col min="7" max="7" width="17.26953125" bestFit="1" customWidth="1"/>
    <col min="8" max="8" width="6.81640625" bestFit="1" customWidth="1"/>
  </cols>
  <sheetData>
    <row r="1" spans="1:9" ht="16" thickBot="1" x14ac:dyDescent="0.4">
      <c r="A1" s="7" t="s">
        <v>363</v>
      </c>
      <c r="B1" s="8" t="s">
        <v>955</v>
      </c>
      <c r="C1" s="9" t="s">
        <v>956</v>
      </c>
      <c r="D1" s="7" t="s">
        <v>957</v>
      </c>
      <c r="E1" s="7" t="s">
        <v>958</v>
      </c>
      <c r="F1" s="7" t="s">
        <v>1041</v>
      </c>
      <c r="G1" s="22" t="s">
        <v>1045</v>
      </c>
      <c r="H1" s="21" t="s">
        <v>1046</v>
      </c>
    </row>
    <row r="2" spans="1:9" x14ac:dyDescent="0.35">
      <c r="A2" s="15" t="s">
        <v>379</v>
      </c>
      <c r="B2" s="27">
        <v>5</v>
      </c>
      <c r="C2" s="23">
        <v>46140</v>
      </c>
      <c r="D2" s="3" t="s">
        <v>1040</v>
      </c>
      <c r="E2" s="3" t="s">
        <v>1040</v>
      </c>
      <c r="F2" s="3" t="s">
        <v>1040</v>
      </c>
      <c r="G2" s="23" t="s">
        <v>1217</v>
      </c>
      <c r="H2" s="3"/>
    </row>
    <row r="3" spans="1:9" x14ac:dyDescent="0.35">
      <c r="A3" s="4" t="s">
        <v>381</v>
      </c>
      <c r="B3" s="28">
        <v>5</v>
      </c>
      <c r="C3" s="23">
        <v>46140</v>
      </c>
      <c r="D3" s="3" t="s">
        <v>1040</v>
      </c>
      <c r="E3" s="3" t="s">
        <v>1040</v>
      </c>
      <c r="F3" s="3" t="s">
        <v>1040</v>
      </c>
      <c r="G3" s="23" t="s">
        <v>1217</v>
      </c>
      <c r="H3" s="3"/>
    </row>
    <row r="4" spans="1:9" x14ac:dyDescent="0.35">
      <c r="A4" s="4" t="s">
        <v>389</v>
      </c>
      <c r="B4" s="28">
        <v>5</v>
      </c>
      <c r="C4" s="23">
        <v>46071</v>
      </c>
      <c r="D4" s="3" t="s">
        <v>1040</v>
      </c>
      <c r="E4" s="3">
        <v>14</v>
      </c>
      <c r="F4" s="3" t="s">
        <v>1040</v>
      </c>
      <c r="G4" s="23">
        <v>46268</v>
      </c>
      <c r="H4" s="3"/>
    </row>
    <row r="5" spans="1:9" x14ac:dyDescent="0.35">
      <c r="A5" s="4" t="s">
        <v>692</v>
      </c>
      <c r="B5" s="28">
        <v>5</v>
      </c>
      <c r="C5" s="3" t="s">
        <v>1040</v>
      </c>
      <c r="D5" s="3" t="s">
        <v>977</v>
      </c>
      <c r="E5" s="3" t="s">
        <v>1040</v>
      </c>
      <c r="F5" s="3" t="s">
        <v>1040</v>
      </c>
      <c r="G5" s="3"/>
      <c r="H5" s="3"/>
    </row>
    <row r="6" spans="1:9" ht="15.75" customHeight="1" x14ac:dyDescent="0.35">
      <c r="A6" s="4" t="s">
        <v>400</v>
      </c>
      <c r="B6" s="28">
        <v>5</v>
      </c>
      <c r="C6" s="23">
        <v>46182</v>
      </c>
      <c r="D6" s="3" t="s">
        <v>1040</v>
      </c>
      <c r="E6" s="3" t="s">
        <v>1040</v>
      </c>
      <c r="F6" s="3" t="s">
        <v>1040</v>
      </c>
      <c r="G6" s="23"/>
      <c r="H6" s="3"/>
    </row>
    <row r="7" spans="1:9" x14ac:dyDescent="0.35">
      <c r="A7" s="4" t="s">
        <v>531</v>
      </c>
      <c r="B7" s="28">
        <v>5</v>
      </c>
      <c r="C7" s="23">
        <v>46097</v>
      </c>
      <c r="D7" s="3" t="s">
        <v>1040</v>
      </c>
      <c r="E7" s="3" t="s">
        <v>1040</v>
      </c>
      <c r="F7" s="3" t="s">
        <v>1040</v>
      </c>
      <c r="G7" s="23">
        <v>46267</v>
      </c>
      <c r="H7" s="3"/>
    </row>
    <row r="8" spans="1:9" x14ac:dyDescent="0.35">
      <c r="A8" s="4" t="s">
        <v>546</v>
      </c>
      <c r="B8" s="28">
        <v>5</v>
      </c>
      <c r="C8" s="23">
        <v>46106</v>
      </c>
      <c r="D8" s="3" t="s">
        <v>1040</v>
      </c>
      <c r="E8" s="3" t="s">
        <v>1040</v>
      </c>
      <c r="F8" s="3" t="s">
        <v>1040</v>
      </c>
      <c r="G8" s="23">
        <v>46267</v>
      </c>
      <c r="H8" s="3"/>
    </row>
    <row r="9" spans="1:9" x14ac:dyDescent="0.35">
      <c r="A9" s="4" t="s">
        <v>580</v>
      </c>
      <c r="B9" s="28">
        <v>5</v>
      </c>
      <c r="C9" s="23">
        <v>46099</v>
      </c>
      <c r="D9" s="3" t="s">
        <v>1040</v>
      </c>
      <c r="E9" s="3" t="s">
        <v>1040</v>
      </c>
      <c r="F9" s="3" t="s">
        <v>1040</v>
      </c>
      <c r="G9" s="23">
        <v>46267</v>
      </c>
      <c r="H9" s="3"/>
    </row>
    <row r="10" spans="1:9" x14ac:dyDescent="0.35">
      <c r="A10" s="4" t="s">
        <v>601</v>
      </c>
      <c r="B10" s="28">
        <v>5</v>
      </c>
      <c r="C10" s="23">
        <v>46099</v>
      </c>
      <c r="D10" s="3" t="s">
        <v>1040</v>
      </c>
      <c r="E10" s="3" t="s">
        <v>1040</v>
      </c>
      <c r="F10" s="3" t="s">
        <v>1040</v>
      </c>
      <c r="G10" s="23">
        <v>46267</v>
      </c>
      <c r="H10" s="3"/>
    </row>
    <row r="11" spans="1:9" x14ac:dyDescent="0.35">
      <c r="A11" s="4" t="s">
        <v>623</v>
      </c>
      <c r="B11" s="28">
        <v>5</v>
      </c>
      <c r="C11" s="23" t="s">
        <v>1067</v>
      </c>
      <c r="D11" s="3" t="s">
        <v>1040</v>
      </c>
      <c r="E11" s="3" t="s">
        <v>1040</v>
      </c>
      <c r="F11" s="3" t="s">
        <v>1040</v>
      </c>
      <c r="G11" s="23">
        <v>46281</v>
      </c>
      <c r="H11" s="3"/>
      <c r="I11" s="3"/>
    </row>
    <row r="12" spans="1:9" x14ac:dyDescent="0.35">
      <c r="A12" s="4" t="s">
        <v>638</v>
      </c>
      <c r="B12" s="28">
        <v>5</v>
      </c>
      <c r="C12" s="3" t="s">
        <v>1040</v>
      </c>
      <c r="D12" s="3" t="s">
        <v>1040</v>
      </c>
      <c r="E12" s="3" t="s">
        <v>1040</v>
      </c>
      <c r="F12" s="3" t="s">
        <v>1040</v>
      </c>
      <c r="G12" s="23">
        <v>46268</v>
      </c>
      <c r="H12" s="3"/>
    </row>
    <row r="13" spans="1:9" x14ac:dyDescent="0.35">
      <c r="A13" s="4" t="s">
        <v>729</v>
      </c>
      <c r="B13" s="28">
        <v>5</v>
      </c>
      <c r="C13" s="3" t="s">
        <v>1176</v>
      </c>
      <c r="D13" s="3" t="s">
        <v>1040</v>
      </c>
      <c r="E13" s="3" t="s">
        <v>1040</v>
      </c>
      <c r="F13" s="3" t="s">
        <v>1040</v>
      </c>
      <c r="G13" s="3"/>
      <c r="H13" s="3"/>
      <c r="I13" s="3"/>
    </row>
    <row r="14" spans="1:9" x14ac:dyDescent="0.35">
      <c r="A14" s="4" t="s">
        <v>749</v>
      </c>
      <c r="B14" s="28">
        <v>5</v>
      </c>
      <c r="C14" s="23" t="s">
        <v>1159</v>
      </c>
      <c r="D14" s="3" t="s">
        <v>1040</v>
      </c>
      <c r="E14" s="3" t="s">
        <v>1040</v>
      </c>
      <c r="F14" s="3" t="s">
        <v>1040</v>
      </c>
      <c r="G14" s="23"/>
      <c r="H14" s="3"/>
    </row>
    <row r="15" spans="1:9" x14ac:dyDescent="0.35">
      <c r="A15" s="15" t="s">
        <v>751</v>
      </c>
      <c r="B15" s="27">
        <v>5</v>
      </c>
      <c r="C15" s="23">
        <v>46097</v>
      </c>
      <c r="D15" s="3" t="s">
        <v>1188</v>
      </c>
      <c r="E15" s="3" t="s">
        <v>1040</v>
      </c>
      <c r="F15" s="3" t="s">
        <v>1040</v>
      </c>
      <c r="G15" s="23">
        <v>46281</v>
      </c>
      <c r="H15" s="3"/>
    </row>
    <row r="16" spans="1:9" x14ac:dyDescent="0.35">
      <c r="A16" s="4" t="s">
        <v>753</v>
      </c>
      <c r="B16" s="28">
        <v>5</v>
      </c>
      <c r="C16" s="23">
        <v>46162</v>
      </c>
      <c r="D16" s="3" t="s">
        <v>1040</v>
      </c>
      <c r="E16" s="3" t="s">
        <v>1040</v>
      </c>
      <c r="F16" s="3" t="s">
        <v>1040</v>
      </c>
      <c r="G16" s="23"/>
      <c r="H16" s="3"/>
    </row>
    <row r="17" spans="1:9" x14ac:dyDescent="0.35">
      <c r="A17" s="4" t="s">
        <v>762</v>
      </c>
      <c r="B17" s="28">
        <v>5</v>
      </c>
      <c r="C17" s="23">
        <v>46050</v>
      </c>
      <c r="D17" s="3" t="s">
        <v>1040</v>
      </c>
      <c r="E17" s="3" t="s">
        <v>1040</v>
      </c>
      <c r="F17" s="3" t="s">
        <v>1040</v>
      </c>
      <c r="G17" s="23"/>
      <c r="H17" s="3"/>
    </row>
    <row r="18" spans="1:9" x14ac:dyDescent="0.35">
      <c r="A18" s="4" t="s">
        <v>805</v>
      </c>
      <c r="B18" s="28">
        <v>5</v>
      </c>
      <c r="C18" s="23">
        <v>46114</v>
      </c>
      <c r="D18" s="3" t="s">
        <v>1040</v>
      </c>
      <c r="E18" s="3" t="s">
        <v>1040</v>
      </c>
      <c r="F18" s="3" t="s">
        <v>1040</v>
      </c>
      <c r="G18" s="23" t="s">
        <v>1275</v>
      </c>
      <c r="H18" s="3"/>
    </row>
    <row r="19" spans="1:9" x14ac:dyDescent="0.35">
      <c r="A19" s="4" t="s">
        <v>861</v>
      </c>
      <c r="B19" s="28">
        <v>5</v>
      </c>
      <c r="C19" s="23">
        <v>46217</v>
      </c>
      <c r="D19" s="3" t="s">
        <v>1040</v>
      </c>
      <c r="E19" s="3" t="s">
        <v>1040</v>
      </c>
      <c r="F19" s="3" t="s">
        <v>1040</v>
      </c>
      <c r="G19" s="23"/>
      <c r="H19" s="3"/>
    </row>
    <row r="20" spans="1:9" x14ac:dyDescent="0.35">
      <c r="A20" s="4" t="s">
        <v>713</v>
      </c>
      <c r="B20" s="28">
        <v>5</v>
      </c>
      <c r="C20" s="23">
        <v>46174</v>
      </c>
      <c r="D20" s="3" t="s">
        <v>1040</v>
      </c>
      <c r="E20" s="3" t="s">
        <v>1040</v>
      </c>
      <c r="F20" s="3" t="s">
        <v>1040</v>
      </c>
      <c r="G20" s="23"/>
      <c r="H20" s="3"/>
    </row>
    <row r="21" spans="1:9" x14ac:dyDescent="0.35">
      <c r="A21" s="4" t="s">
        <v>865</v>
      </c>
      <c r="B21" s="28">
        <v>5</v>
      </c>
      <c r="C21" s="23">
        <v>46114</v>
      </c>
      <c r="D21" s="3" t="s">
        <v>1040</v>
      </c>
      <c r="E21" s="3" t="s">
        <v>1040</v>
      </c>
      <c r="F21" s="3" t="s">
        <v>1040</v>
      </c>
      <c r="G21" s="23">
        <v>46275</v>
      </c>
      <c r="H21" s="3"/>
    </row>
    <row r="22" spans="1:9" x14ac:dyDescent="0.35">
      <c r="A22" s="4" t="s">
        <v>901</v>
      </c>
      <c r="B22" s="28">
        <v>5</v>
      </c>
      <c r="C22" s="23">
        <v>46114</v>
      </c>
      <c r="D22" s="3" t="s">
        <v>1040</v>
      </c>
      <c r="E22" s="3" t="s">
        <v>1040</v>
      </c>
      <c r="F22" s="3" t="s">
        <v>1040</v>
      </c>
      <c r="G22" s="23" t="s">
        <v>1222</v>
      </c>
      <c r="H22" s="3"/>
    </row>
    <row r="23" spans="1:9" x14ac:dyDescent="0.35">
      <c r="A23" s="15" t="s">
        <v>920</v>
      </c>
      <c r="B23" s="27">
        <v>5</v>
      </c>
      <c r="C23" s="23">
        <v>46176</v>
      </c>
      <c r="D23" s="3" t="s">
        <v>1040</v>
      </c>
      <c r="E23" s="3" t="s">
        <v>1040</v>
      </c>
      <c r="F23" s="3" t="s">
        <v>1040</v>
      </c>
      <c r="G23" s="23"/>
      <c r="H23" s="3"/>
      <c r="I23" s="3"/>
    </row>
    <row r="24" spans="1:9" x14ac:dyDescent="0.35">
      <c r="A24" s="4" t="s">
        <v>525</v>
      </c>
      <c r="B24" s="28">
        <v>5</v>
      </c>
      <c r="C24" s="23">
        <v>46162</v>
      </c>
      <c r="D24" s="3" t="s">
        <v>1040</v>
      </c>
      <c r="E24" s="3" t="s">
        <v>1040</v>
      </c>
      <c r="F24" s="3" t="s">
        <v>1040</v>
      </c>
      <c r="G24" s="23"/>
      <c r="H24" s="3"/>
    </row>
    <row r="25" spans="1:9" x14ac:dyDescent="0.35">
      <c r="A25" s="4" t="s">
        <v>787</v>
      </c>
      <c r="B25" s="28">
        <v>5</v>
      </c>
      <c r="C25" s="3"/>
      <c r="D25" s="3" t="s">
        <v>1191</v>
      </c>
      <c r="E25" s="3" t="s">
        <v>1040</v>
      </c>
      <c r="F25" s="3" t="s">
        <v>1040</v>
      </c>
      <c r="G25" s="3"/>
      <c r="H25" s="3"/>
    </row>
    <row r="26" spans="1:9" x14ac:dyDescent="0.35">
      <c r="A26" s="4" t="s">
        <v>788</v>
      </c>
      <c r="B26" s="28">
        <v>5</v>
      </c>
      <c r="C26" s="23">
        <v>46139</v>
      </c>
      <c r="D26" s="3" t="s">
        <v>1040</v>
      </c>
      <c r="E26" s="3" t="s">
        <v>1040</v>
      </c>
      <c r="F26" s="3" t="s">
        <v>1040</v>
      </c>
      <c r="G26" s="23">
        <v>46274</v>
      </c>
      <c r="H26" s="3"/>
    </row>
    <row r="27" spans="1:9" x14ac:dyDescent="0.35">
      <c r="A27" s="4"/>
      <c r="B27" s="28"/>
      <c r="C27" s="23"/>
      <c r="D27" s="3"/>
      <c r="E27" s="3"/>
      <c r="F27" s="3"/>
      <c r="G27" s="3"/>
      <c r="H27" s="3"/>
    </row>
    <row r="28" spans="1:9" x14ac:dyDescent="0.35">
      <c r="A28" s="4"/>
      <c r="B28" s="4"/>
      <c r="C28" s="23"/>
      <c r="D28" s="3"/>
      <c r="E28" s="3"/>
      <c r="F28" s="3"/>
      <c r="G28" s="3"/>
      <c r="H28" s="3"/>
    </row>
    <row r="29" spans="1:9" x14ac:dyDescent="0.35">
      <c r="A29" s="4"/>
      <c r="B29" s="4"/>
      <c r="C29" s="23"/>
      <c r="D29" s="3"/>
      <c r="E29" s="3"/>
      <c r="F29" s="3"/>
      <c r="G29" s="3"/>
      <c r="H29" s="3"/>
    </row>
    <row r="30" spans="1:9" x14ac:dyDescent="0.35">
      <c r="A30" s="4"/>
      <c r="B30" s="4"/>
      <c r="C30" s="26"/>
      <c r="D30" s="3"/>
      <c r="E30" s="3"/>
      <c r="F30" s="3"/>
      <c r="G30" s="3"/>
      <c r="H30" s="3"/>
    </row>
    <row r="31" spans="1:9" x14ac:dyDescent="0.35">
      <c r="A31" s="4"/>
      <c r="B31" s="4"/>
      <c r="C31" s="26"/>
      <c r="D31" s="3"/>
      <c r="E31" s="3"/>
      <c r="F31" s="3"/>
      <c r="G31" s="3"/>
      <c r="H31" s="3"/>
    </row>
    <row r="32" spans="1:9" x14ac:dyDescent="0.35">
      <c r="A32" s="4"/>
      <c r="B32" s="4"/>
      <c r="C32" s="26"/>
      <c r="D32" s="3"/>
      <c r="E32" s="3"/>
      <c r="F32" s="3"/>
      <c r="G32" s="3"/>
      <c r="H32" s="3"/>
    </row>
    <row r="33" spans="5:5" x14ac:dyDescent="0.35">
      <c r="E33" s="3"/>
    </row>
  </sheetData>
  <conditionalFormatting sqref="A2:H32 I11 I13 I23">
    <cfRule type="expression" dxfId="23" priority="1">
      <formula>$H2 = 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2967-B1A6-4855-AD1F-BB28956ABA17}">
  <dimension ref="A1:H27"/>
  <sheetViews>
    <sheetView zoomScaleNormal="100" workbookViewId="0">
      <selection activeCell="A23" sqref="A23"/>
    </sheetView>
  </sheetViews>
  <sheetFormatPr defaultRowHeight="14.5" x14ac:dyDescent="0.35"/>
  <cols>
    <col min="1" max="1" width="42.54296875" bestFit="1" customWidth="1"/>
    <col min="2" max="2" width="7.7265625" bestFit="1" customWidth="1"/>
    <col min="3" max="3" width="23.81640625" bestFit="1" customWidth="1"/>
    <col min="4" max="4" width="72.26953125" customWidth="1"/>
    <col min="5" max="5" width="22" bestFit="1" customWidth="1"/>
    <col min="6" max="6" width="12" customWidth="1"/>
    <col min="7" max="7" width="17.26953125" bestFit="1" customWidth="1"/>
  </cols>
  <sheetData>
    <row r="1" spans="1:8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</row>
    <row r="2" spans="1:8" x14ac:dyDescent="0.35">
      <c r="A2" s="27" t="s">
        <v>406</v>
      </c>
      <c r="B2" s="27">
        <v>6</v>
      </c>
      <c r="C2" s="3" t="s">
        <v>1065</v>
      </c>
      <c r="D2" s="3" t="s">
        <v>1040</v>
      </c>
      <c r="E2" s="3" t="s">
        <v>1040</v>
      </c>
      <c r="F2" s="3" t="s">
        <v>1040</v>
      </c>
      <c r="G2" s="3"/>
      <c r="H2" s="3"/>
    </row>
    <row r="3" spans="1:8" x14ac:dyDescent="0.35">
      <c r="A3" s="28" t="s">
        <v>434</v>
      </c>
      <c r="B3" s="28">
        <v>6</v>
      </c>
      <c r="C3" s="23">
        <v>46106</v>
      </c>
      <c r="D3" s="3" t="s">
        <v>1040</v>
      </c>
      <c r="E3" s="3">
        <v>3</v>
      </c>
      <c r="F3" s="3" t="s">
        <v>1040</v>
      </c>
      <c r="G3" s="23"/>
      <c r="H3" s="3"/>
    </row>
    <row r="4" spans="1:8" x14ac:dyDescent="0.35">
      <c r="A4" s="28" t="s">
        <v>436</v>
      </c>
      <c r="B4" s="28">
        <v>6</v>
      </c>
      <c r="C4" s="3" t="s">
        <v>1074</v>
      </c>
      <c r="D4" s="3" t="s">
        <v>1040</v>
      </c>
      <c r="E4" s="3" t="s">
        <v>1040</v>
      </c>
      <c r="F4" s="3" t="s">
        <v>1040</v>
      </c>
      <c r="G4" s="3"/>
      <c r="H4" s="3"/>
    </row>
    <row r="5" spans="1:8" x14ac:dyDescent="0.35">
      <c r="A5" s="28" t="s">
        <v>450</v>
      </c>
      <c r="B5" s="28">
        <v>6</v>
      </c>
      <c r="C5" s="3" t="s">
        <v>1071</v>
      </c>
      <c r="D5" s="3"/>
      <c r="E5" s="3">
        <v>3</v>
      </c>
      <c r="F5" s="3" t="s">
        <v>1040</v>
      </c>
      <c r="G5" s="3"/>
      <c r="H5" s="3"/>
    </row>
    <row r="6" spans="1:8" x14ac:dyDescent="0.35">
      <c r="A6" s="28" t="s">
        <v>498</v>
      </c>
      <c r="B6" s="28">
        <v>6</v>
      </c>
      <c r="C6" s="3" t="s">
        <v>1072</v>
      </c>
      <c r="D6" s="3" t="s">
        <v>1040</v>
      </c>
      <c r="E6" s="3">
        <v>3</v>
      </c>
      <c r="F6" s="3" t="s">
        <v>1040</v>
      </c>
      <c r="G6" s="3"/>
      <c r="H6" s="3"/>
    </row>
    <row r="7" spans="1:8" x14ac:dyDescent="0.35">
      <c r="A7" s="28" t="s">
        <v>829</v>
      </c>
      <c r="B7" s="28">
        <v>6</v>
      </c>
      <c r="C7" s="3" t="s">
        <v>1040</v>
      </c>
      <c r="D7" s="3" t="s">
        <v>1058</v>
      </c>
      <c r="E7" s="3" t="s">
        <v>1040</v>
      </c>
      <c r="F7" s="3" t="s">
        <v>1040</v>
      </c>
      <c r="G7" s="3"/>
      <c r="H7" s="3"/>
    </row>
    <row r="8" spans="1:8" x14ac:dyDescent="0.35">
      <c r="A8" s="28" t="s">
        <v>505</v>
      </c>
      <c r="B8" s="28">
        <v>6</v>
      </c>
      <c r="C8" s="3" t="s">
        <v>1101</v>
      </c>
      <c r="D8" s="3" t="s">
        <v>1040</v>
      </c>
      <c r="E8" s="3" t="s">
        <v>1040</v>
      </c>
      <c r="F8" s="3" t="s">
        <v>1040</v>
      </c>
      <c r="G8" s="3"/>
      <c r="H8" s="3"/>
    </row>
    <row r="9" spans="1:8" x14ac:dyDescent="0.35">
      <c r="A9" s="28" t="s">
        <v>593</v>
      </c>
      <c r="B9" s="28">
        <v>6</v>
      </c>
      <c r="C9" s="3" t="s">
        <v>1102</v>
      </c>
      <c r="D9" s="3" t="s">
        <v>1040</v>
      </c>
      <c r="E9" s="3">
        <v>3</v>
      </c>
      <c r="F9" s="3" t="s">
        <v>1040</v>
      </c>
      <c r="G9" s="3"/>
      <c r="H9" s="3"/>
    </row>
    <row r="10" spans="1:8" x14ac:dyDescent="0.35">
      <c r="A10" s="28" t="s">
        <v>636</v>
      </c>
      <c r="B10" s="28">
        <v>6</v>
      </c>
      <c r="C10" s="3" t="s">
        <v>1040</v>
      </c>
      <c r="D10" s="3" t="s">
        <v>1220</v>
      </c>
      <c r="E10" s="3">
        <v>3</v>
      </c>
      <c r="F10" s="3" t="s">
        <v>1040</v>
      </c>
      <c r="G10" s="3"/>
      <c r="H10" s="3"/>
    </row>
    <row r="11" spans="1:8" x14ac:dyDescent="0.35">
      <c r="A11" s="28" t="s">
        <v>689</v>
      </c>
      <c r="B11" s="28">
        <v>6</v>
      </c>
      <c r="C11" s="3" t="s">
        <v>1105</v>
      </c>
      <c r="D11" s="3" t="s">
        <v>1040</v>
      </c>
      <c r="E11" s="3" t="s">
        <v>1040</v>
      </c>
      <c r="F11" s="3" t="s">
        <v>1040</v>
      </c>
      <c r="G11" s="3"/>
      <c r="H11" s="3"/>
    </row>
    <row r="12" spans="1:8" x14ac:dyDescent="0.35">
      <c r="A12" s="28" t="s">
        <v>741</v>
      </c>
      <c r="B12" s="28">
        <v>6</v>
      </c>
      <c r="C12" s="3" t="s">
        <v>1070</v>
      </c>
      <c r="D12" s="3" t="s">
        <v>1221</v>
      </c>
      <c r="E12" s="3">
        <v>3</v>
      </c>
      <c r="F12" s="3" t="s">
        <v>1040</v>
      </c>
      <c r="G12" s="3"/>
      <c r="H12" s="3"/>
    </row>
    <row r="13" spans="1:8" x14ac:dyDescent="0.35">
      <c r="A13" s="28" t="s">
        <v>826</v>
      </c>
      <c r="B13" s="28">
        <v>6</v>
      </c>
      <c r="C13" s="3" t="s">
        <v>1075</v>
      </c>
      <c r="D13" s="3" t="s">
        <v>1040</v>
      </c>
      <c r="E13" s="3">
        <v>3</v>
      </c>
      <c r="F13" s="3" t="s">
        <v>1040</v>
      </c>
      <c r="G13" s="3"/>
      <c r="H13" s="3"/>
    </row>
    <row r="14" spans="1:8" x14ac:dyDescent="0.35">
      <c r="A14" s="28" t="s">
        <v>848</v>
      </c>
      <c r="B14" s="28">
        <v>6</v>
      </c>
      <c r="C14" s="3" t="s">
        <v>1197</v>
      </c>
      <c r="D14" s="3" t="s">
        <v>1198</v>
      </c>
      <c r="E14" s="3">
        <v>3</v>
      </c>
      <c r="F14" s="3" t="s">
        <v>1040</v>
      </c>
      <c r="G14" s="3"/>
      <c r="H14" s="3"/>
    </row>
    <row r="15" spans="1:8" x14ac:dyDescent="0.35">
      <c r="A15" s="27" t="s">
        <v>878</v>
      </c>
      <c r="B15" s="27">
        <v>6</v>
      </c>
      <c r="C15" s="3" t="s">
        <v>1106</v>
      </c>
      <c r="D15" s="3" t="s">
        <v>1040</v>
      </c>
      <c r="E15" s="3">
        <v>3</v>
      </c>
      <c r="F15" s="3" t="s">
        <v>1040</v>
      </c>
      <c r="G15" s="3"/>
      <c r="H15" s="3"/>
    </row>
    <row r="16" spans="1:8" x14ac:dyDescent="0.35">
      <c r="A16" s="28" t="s">
        <v>882</v>
      </c>
      <c r="B16" s="28">
        <v>6</v>
      </c>
      <c r="C16" s="3" t="s">
        <v>1119</v>
      </c>
      <c r="D16" s="3" t="s">
        <v>1040</v>
      </c>
      <c r="E16" s="3" t="s">
        <v>1040</v>
      </c>
      <c r="F16" s="3" t="s">
        <v>1040</v>
      </c>
      <c r="G16" s="3"/>
      <c r="H16" s="3"/>
    </row>
    <row r="17" spans="1:8" x14ac:dyDescent="0.35">
      <c r="A17" s="28" t="s">
        <v>884</v>
      </c>
      <c r="B17" s="28">
        <v>6</v>
      </c>
      <c r="C17" s="3" t="s">
        <v>1077</v>
      </c>
      <c r="D17" s="3" t="s">
        <v>1040</v>
      </c>
      <c r="E17" s="3" t="s">
        <v>1040</v>
      </c>
      <c r="F17" s="3" t="s">
        <v>1040</v>
      </c>
      <c r="G17" s="3"/>
      <c r="H17" s="3"/>
    </row>
    <row r="18" spans="1:8" x14ac:dyDescent="0.35">
      <c r="A18" s="28" t="s">
        <v>869</v>
      </c>
      <c r="B18" s="28">
        <v>6</v>
      </c>
      <c r="C18" s="3" t="s">
        <v>1040</v>
      </c>
      <c r="D18" s="3" t="s">
        <v>1189</v>
      </c>
      <c r="E18" s="3" t="s">
        <v>1040</v>
      </c>
      <c r="F18" s="3" t="s">
        <v>1040</v>
      </c>
      <c r="G18" s="3"/>
      <c r="H18" s="3"/>
    </row>
    <row r="19" spans="1:8" x14ac:dyDescent="0.35">
      <c r="A19" s="28" t="s">
        <v>871</v>
      </c>
      <c r="B19" s="28">
        <v>6</v>
      </c>
      <c r="C19" s="3" t="s">
        <v>1040</v>
      </c>
      <c r="D19" s="3" t="s">
        <v>1190</v>
      </c>
      <c r="E19" s="3" t="s">
        <v>1019</v>
      </c>
      <c r="F19" s="3" t="s">
        <v>1040</v>
      </c>
      <c r="G19" s="3"/>
      <c r="H19" s="3"/>
    </row>
    <row r="20" spans="1:8" x14ac:dyDescent="0.35">
      <c r="A20" s="28" t="s">
        <v>890</v>
      </c>
      <c r="B20" s="28">
        <v>6</v>
      </c>
      <c r="C20" s="3" t="s">
        <v>1073</v>
      </c>
      <c r="D20" s="3"/>
      <c r="E20" s="3">
        <v>3</v>
      </c>
      <c r="F20" s="3" t="s">
        <v>1040</v>
      </c>
      <c r="G20" s="3"/>
      <c r="H20" s="3"/>
    </row>
    <row r="21" spans="1:8" x14ac:dyDescent="0.35">
      <c r="A21" s="28" t="s">
        <v>896</v>
      </c>
      <c r="B21" s="28">
        <v>6</v>
      </c>
      <c r="C21" s="3" t="s">
        <v>1076</v>
      </c>
      <c r="D21" s="3" t="s">
        <v>1040</v>
      </c>
      <c r="E21" s="3" t="s">
        <v>1040</v>
      </c>
      <c r="F21" s="3" t="s">
        <v>1040</v>
      </c>
      <c r="G21" s="3"/>
      <c r="H21" s="3"/>
    </row>
    <row r="22" spans="1:8" x14ac:dyDescent="0.35">
      <c r="A22" s="28" t="s">
        <v>1209</v>
      </c>
      <c r="B22" s="28">
        <v>6</v>
      </c>
      <c r="C22" s="3" t="s">
        <v>1040</v>
      </c>
      <c r="D22" s="3" t="s">
        <v>1040</v>
      </c>
      <c r="E22" s="3" t="s">
        <v>1040</v>
      </c>
      <c r="F22" s="3" t="s">
        <v>1040</v>
      </c>
      <c r="G22" s="3"/>
      <c r="H22" s="3"/>
    </row>
    <row r="23" spans="1:8" x14ac:dyDescent="0.35">
      <c r="A23" s="28" t="s">
        <v>914</v>
      </c>
      <c r="B23" s="28">
        <v>6</v>
      </c>
      <c r="C23" s="3" t="s">
        <v>1184</v>
      </c>
      <c r="D23" s="3" t="s">
        <v>1040</v>
      </c>
      <c r="E23" s="3" t="s">
        <v>1040</v>
      </c>
      <c r="F23" s="3" t="s">
        <v>1040</v>
      </c>
      <c r="G23" s="3"/>
      <c r="H23" s="3"/>
    </row>
    <row r="24" spans="1:8" x14ac:dyDescent="0.35">
      <c r="A24" s="27"/>
      <c r="B24" s="27"/>
      <c r="C24" s="23"/>
      <c r="D24" s="3"/>
      <c r="E24" s="3"/>
      <c r="F24" s="3"/>
      <c r="G24" s="3"/>
      <c r="H24" s="3"/>
    </row>
    <row r="25" spans="1:8" x14ac:dyDescent="0.35">
      <c r="A25" s="28"/>
      <c r="B25" s="28"/>
      <c r="C25" s="23"/>
      <c r="D25" s="3"/>
      <c r="E25" s="3"/>
      <c r="F25" s="3"/>
      <c r="G25" s="3"/>
      <c r="H25" s="3"/>
    </row>
    <row r="26" spans="1:8" x14ac:dyDescent="0.35">
      <c r="A26" s="28"/>
      <c r="B26" s="28"/>
      <c r="C26" s="23"/>
      <c r="D26" s="3"/>
      <c r="E26" s="3"/>
      <c r="F26" s="3"/>
      <c r="G26" s="3"/>
      <c r="H26" s="3"/>
    </row>
    <row r="27" spans="1:8" x14ac:dyDescent="0.35">
      <c r="A27" s="28"/>
      <c r="B27" s="28"/>
      <c r="C27" s="23"/>
      <c r="D27" s="3"/>
      <c r="E27" s="3"/>
      <c r="F27" s="3"/>
      <c r="G27" s="3"/>
      <c r="H27" s="3"/>
    </row>
  </sheetData>
  <conditionalFormatting sqref="A2:H27">
    <cfRule type="expression" dxfId="22" priority="1">
      <formula>$H2 = 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36F4-E616-4242-A3EF-827E0E74B18B}">
  <dimension ref="A1:I44"/>
  <sheetViews>
    <sheetView zoomScaleNormal="100" workbookViewId="0">
      <selection activeCell="G9" sqref="G9"/>
    </sheetView>
  </sheetViews>
  <sheetFormatPr defaultRowHeight="14.5" x14ac:dyDescent="0.35"/>
  <cols>
    <col min="1" max="1" width="42.81640625" bestFit="1" customWidth="1"/>
    <col min="2" max="3" width="23.7265625" customWidth="1"/>
    <col min="4" max="4" width="55.453125" bestFit="1" customWidth="1"/>
    <col min="5" max="7" width="23.7265625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391</v>
      </c>
      <c r="B2" s="27">
        <v>7</v>
      </c>
      <c r="C2" s="23">
        <v>46104</v>
      </c>
      <c r="D2" s="3" t="s">
        <v>1040</v>
      </c>
      <c r="E2" s="3">
        <v>3</v>
      </c>
      <c r="F2" s="3" t="s">
        <v>1040</v>
      </c>
      <c r="G2" s="23" t="s">
        <v>1223</v>
      </c>
      <c r="H2" s="3"/>
      <c r="I2" s="3"/>
    </row>
    <row r="3" spans="1:9" x14ac:dyDescent="0.35">
      <c r="A3" s="28" t="s">
        <v>408</v>
      </c>
      <c r="B3" s="28">
        <v>7</v>
      </c>
      <c r="C3" s="23">
        <v>46146</v>
      </c>
      <c r="D3" s="3"/>
      <c r="E3" s="3">
        <v>1</v>
      </c>
      <c r="F3" s="3" t="s">
        <v>1040</v>
      </c>
      <c r="G3" s="23" t="s">
        <v>1230</v>
      </c>
      <c r="H3" s="3"/>
      <c r="I3" s="3"/>
    </row>
    <row r="4" spans="1:9" x14ac:dyDescent="0.35">
      <c r="A4" s="28" t="s">
        <v>418</v>
      </c>
      <c r="B4" s="28">
        <v>7</v>
      </c>
      <c r="C4" s="23">
        <v>46112</v>
      </c>
      <c r="D4" s="3" t="s">
        <v>1067</v>
      </c>
      <c r="E4" s="3">
        <v>3</v>
      </c>
      <c r="F4" s="3" t="s">
        <v>1040</v>
      </c>
      <c r="G4" s="23">
        <v>46266</v>
      </c>
      <c r="H4" s="3"/>
      <c r="I4" s="3"/>
    </row>
    <row r="5" spans="1:9" x14ac:dyDescent="0.35">
      <c r="A5" s="28" t="s">
        <v>492</v>
      </c>
      <c r="B5" s="28">
        <v>7</v>
      </c>
      <c r="C5" s="23">
        <v>46112</v>
      </c>
      <c r="D5" s="3" t="s">
        <v>1040</v>
      </c>
      <c r="E5" s="3" t="s">
        <v>1040</v>
      </c>
      <c r="F5" s="3" t="s">
        <v>1040</v>
      </c>
      <c r="G5" s="23"/>
      <c r="H5" s="3"/>
      <c r="I5" s="3"/>
    </row>
    <row r="6" spans="1:9" x14ac:dyDescent="0.35">
      <c r="A6" s="28" t="s">
        <v>557</v>
      </c>
      <c r="B6" s="28">
        <v>7</v>
      </c>
      <c r="C6" s="23">
        <v>46139</v>
      </c>
      <c r="D6" s="3" t="s">
        <v>1067</v>
      </c>
      <c r="E6" s="3" t="s">
        <v>1040</v>
      </c>
      <c r="F6" s="3" t="s">
        <v>1040</v>
      </c>
      <c r="G6" s="23"/>
      <c r="H6" s="3"/>
      <c r="I6" s="3"/>
    </row>
    <row r="7" spans="1:9" x14ac:dyDescent="0.35">
      <c r="A7" s="28" t="s">
        <v>559</v>
      </c>
      <c r="B7" s="28">
        <v>7</v>
      </c>
      <c r="C7" s="23">
        <v>46141</v>
      </c>
      <c r="D7" s="3" t="s">
        <v>1040</v>
      </c>
      <c r="E7" s="3">
        <v>6</v>
      </c>
      <c r="F7" s="3" t="s">
        <v>1040</v>
      </c>
      <c r="G7" s="23" t="s">
        <v>1270</v>
      </c>
      <c r="H7" s="3"/>
      <c r="I7" s="3"/>
    </row>
    <row r="8" spans="1:9" x14ac:dyDescent="0.35">
      <c r="A8" s="28" t="s">
        <v>591</v>
      </c>
      <c r="B8" s="28">
        <v>7</v>
      </c>
      <c r="C8" s="23">
        <v>46122</v>
      </c>
      <c r="D8" s="3" t="s">
        <v>1040</v>
      </c>
      <c r="E8" s="3" t="s">
        <v>1040</v>
      </c>
      <c r="F8" s="3" t="s">
        <v>1040</v>
      </c>
      <c r="G8" s="23">
        <v>46265</v>
      </c>
      <c r="H8" s="3"/>
      <c r="I8" s="3"/>
    </row>
    <row r="9" spans="1:9" x14ac:dyDescent="0.35">
      <c r="A9" s="28" t="s">
        <v>877</v>
      </c>
      <c r="B9" s="28">
        <v>7</v>
      </c>
      <c r="C9" s="3" t="s">
        <v>1159</v>
      </c>
      <c r="D9" s="3"/>
      <c r="E9" s="3" t="s">
        <v>1040</v>
      </c>
      <c r="F9" s="3" t="s">
        <v>1040</v>
      </c>
      <c r="G9" s="3"/>
      <c r="H9" s="3"/>
      <c r="I9" s="3"/>
    </row>
    <row r="10" spans="1:9" x14ac:dyDescent="0.35">
      <c r="A10" s="28" t="s">
        <v>597</v>
      </c>
      <c r="B10" s="28">
        <v>7</v>
      </c>
      <c r="C10" s="23">
        <v>46111</v>
      </c>
      <c r="D10" s="3" t="s">
        <v>978</v>
      </c>
      <c r="E10" s="3">
        <v>1</v>
      </c>
      <c r="F10" s="3" t="s">
        <v>1040</v>
      </c>
      <c r="G10" s="23" t="s">
        <v>1230</v>
      </c>
      <c r="H10" s="3"/>
      <c r="I10" s="3"/>
    </row>
    <row r="11" spans="1:9" x14ac:dyDescent="0.35">
      <c r="A11" s="28" t="s">
        <v>458</v>
      </c>
      <c r="B11" s="28">
        <v>7</v>
      </c>
      <c r="C11" s="23">
        <v>46113</v>
      </c>
      <c r="D11" s="3" t="s">
        <v>1040</v>
      </c>
      <c r="E11" s="3" t="s">
        <v>1040</v>
      </c>
      <c r="F11" s="3" t="s">
        <v>1040</v>
      </c>
      <c r="G11" s="23"/>
      <c r="H11" s="3"/>
      <c r="I11" s="3"/>
    </row>
    <row r="12" spans="1:9" x14ac:dyDescent="0.35">
      <c r="A12" s="28" t="s">
        <v>459</v>
      </c>
      <c r="B12" s="28">
        <v>7</v>
      </c>
      <c r="C12" s="23">
        <v>46113</v>
      </c>
      <c r="D12" s="3" t="s">
        <v>1040</v>
      </c>
      <c r="E12" s="3" t="s">
        <v>1040</v>
      </c>
      <c r="F12" s="3" t="s">
        <v>1040</v>
      </c>
      <c r="G12" s="23" t="s">
        <v>1223</v>
      </c>
      <c r="H12" s="3"/>
      <c r="I12" s="3"/>
    </row>
    <row r="13" spans="1:9" x14ac:dyDescent="0.35">
      <c r="A13" s="28" t="s">
        <v>588</v>
      </c>
      <c r="B13" s="28">
        <v>7</v>
      </c>
      <c r="C13" s="23">
        <v>46121</v>
      </c>
      <c r="D13" s="3" t="s">
        <v>1040</v>
      </c>
      <c r="E13" s="3" t="s">
        <v>1040</v>
      </c>
      <c r="F13" s="3" t="s">
        <v>1040</v>
      </c>
      <c r="G13" s="23">
        <v>46296</v>
      </c>
      <c r="H13" s="3"/>
      <c r="I13" s="3"/>
    </row>
    <row r="14" spans="1:9" x14ac:dyDescent="0.35">
      <c r="A14" s="28" t="s">
        <v>618</v>
      </c>
      <c r="B14" s="28">
        <v>7</v>
      </c>
      <c r="C14" s="23">
        <v>46161</v>
      </c>
      <c r="D14" s="3" t="s">
        <v>1040</v>
      </c>
      <c r="E14" s="3" t="s">
        <v>1040</v>
      </c>
      <c r="F14" s="3" t="s">
        <v>1040</v>
      </c>
      <c r="G14" s="23"/>
      <c r="H14" s="3"/>
      <c r="I14" s="3"/>
    </row>
    <row r="15" spans="1:9" x14ac:dyDescent="0.35">
      <c r="A15" s="27" t="s">
        <v>619</v>
      </c>
      <c r="B15" s="27">
        <v>7</v>
      </c>
      <c r="C15" s="23">
        <v>46121</v>
      </c>
      <c r="D15" s="3" t="s">
        <v>1040</v>
      </c>
      <c r="E15" s="3" t="s">
        <v>1040</v>
      </c>
      <c r="F15" s="3" t="s">
        <v>1040</v>
      </c>
      <c r="G15" s="23" t="s">
        <v>1216</v>
      </c>
      <c r="H15" s="3"/>
      <c r="I15" s="3"/>
    </row>
    <row r="16" spans="1:9" x14ac:dyDescent="0.35">
      <c r="A16" s="28" t="s">
        <v>620</v>
      </c>
      <c r="B16" s="28">
        <v>7</v>
      </c>
      <c r="C16" s="23">
        <v>46113</v>
      </c>
      <c r="D16" s="3" t="s">
        <v>1040</v>
      </c>
      <c r="E16" s="3" t="s">
        <v>1040</v>
      </c>
      <c r="F16" s="3" t="s">
        <v>1040</v>
      </c>
      <c r="G16" s="23">
        <v>46274</v>
      </c>
      <c r="H16" s="3"/>
      <c r="I16" s="3"/>
    </row>
    <row r="17" spans="1:9" x14ac:dyDescent="0.35">
      <c r="A17" s="28" t="s">
        <v>666</v>
      </c>
      <c r="B17" s="28">
        <v>7</v>
      </c>
      <c r="C17" s="23">
        <v>46111</v>
      </c>
      <c r="D17" s="3" t="s">
        <v>1040</v>
      </c>
      <c r="E17" s="3">
        <v>3</v>
      </c>
      <c r="F17" s="3" t="s">
        <v>1040</v>
      </c>
      <c r="G17" s="23" t="s">
        <v>1230</v>
      </c>
      <c r="H17" s="3"/>
      <c r="I17" s="3"/>
    </row>
    <row r="18" spans="1:9" x14ac:dyDescent="0.35">
      <c r="A18" s="28" t="s">
        <v>677</v>
      </c>
      <c r="B18" s="28">
        <v>7</v>
      </c>
      <c r="C18" s="23">
        <v>46112</v>
      </c>
      <c r="D18" s="3" t="s">
        <v>1040</v>
      </c>
      <c r="E18" s="3">
        <v>4</v>
      </c>
      <c r="F18" s="3" t="s">
        <v>1040</v>
      </c>
      <c r="G18" s="23">
        <v>46279</v>
      </c>
      <c r="H18" s="3"/>
      <c r="I18" s="3"/>
    </row>
    <row r="19" spans="1:9" x14ac:dyDescent="0.35">
      <c r="A19" s="28" t="s">
        <v>679</v>
      </c>
      <c r="B19" s="28">
        <v>7</v>
      </c>
      <c r="C19" s="23">
        <v>46111</v>
      </c>
      <c r="D19" s="3" t="s">
        <v>1067</v>
      </c>
      <c r="E19" s="3" t="s">
        <v>1040</v>
      </c>
      <c r="F19" s="3" t="s">
        <v>1040</v>
      </c>
      <c r="G19" s="23" t="s">
        <v>1223</v>
      </c>
      <c r="H19" s="3"/>
      <c r="I19" s="3"/>
    </row>
    <row r="20" spans="1:9" x14ac:dyDescent="0.35">
      <c r="A20" s="28" t="s">
        <v>683</v>
      </c>
      <c r="B20" s="28">
        <v>7</v>
      </c>
      <c r="C20" s="3" t="s">
        <v>1159</v>
      </c>
      <c r="D20" s="3"/>
      <c r="E20" s="3" t="s">
        <v>1040</v>
      </c>
      <c r="F20" s="3" t="s">
        <v>1040</v>
      </c>
      <c r="G20" s="3"/>
      <c r="H20" s="3"/>
      <c r="I20" s="3"/>
    </row>
    <row r="21" spans="1:9" x14ac:dyDescent="0.35">
      <c r="A21" s="28" t="s">
        <v>740</v>
      </c>
      <c r="B21" s="28">
        <v>7</v>
      </c>
      <c r="C21" s="23">
        <v>46121</v>
      </c>
      <c r="D21" s="3" t="s">
        <v>1040</v>
      </c>
      <c r="E21" s="3" t="s">
        <v>1040</v>
      </c>
      <c r="F21" s="3" t="s">
        <v>1040</v>
      </c>
      <c r="G21" s="23">
        <v>46296</v>
      </c>
      <c r="H21" s="3"/>
      <c r="I21" s="3"/>
    </row>
    <row r="22" spans="1:9" x14ac:dyDescent="0.35">
      <c r="A22" s="28" t="s">
        <v>738</v>
      </c>
      <c r="B22" s="28">
        <v>7</v>
      </c>
      <c r="C22" s="23">
        <v>46098</v>
      </c>
      <c r="D22" s="3" t="s">
        <v>1066</v>
      </c>
      <c r="E22" s="3" t="s">
        <v>1040</v>
      </c>
      <c r="F22" s="3" t="s">
        <v>1040</v>
      </c>
      <c r="G22" s="23" t="s">
        <v>1223</v>
      </c>
      <c r="H22" s="3"/>
      <c r="I22" s="3"/>
    </row>
    <row r="23" spans="1:9" x14ac:dyDescent="0.35">
      <c r="A23" s="27" t="s">
        <v>1213</v>
      </c>
      <c r="B23" s="27">
        <v>7</v>
      </c>
      <c r="C23" s="3" t="s">
        <v>1040</v>
      </c>
      <c r="D23" s="3" t="s">
        <v>1040</v>
      </c>
      <c r="E23" s="3">
        <v>6</v>
      </c>
      <c r="F23" s="3" t="s">
        <v>1040</v>
      </c>
      <c r="G23" s="23"/>
      <c r="H23" s="3"/>
      <c r="I23" s="3"/>
    </row>
    <row r="24" spans="1:9" x14ac:dyDescent="0.35">
      <c r="A24" s="27" t="s">
        <v>743</v>
      </c>
      <c r="B24" s="27">
        <v>7</v>
      </c>
      <c r="C24" s="23">
        <v>46113</v>
      </c>
      <c r="D24" s="3" t="s">
        <v>1040</v>
      </c>
      <c r="E24" s="3" t="s">
        <v>1040</v>
      </c>
      <c r="F24" s="3" t="s">
        <v>1040</v>
      </c>
      <c r="G24" s="23">
        <v>46274</v>
      </c>
      <c r="H24" s="3"/>
      <c r="I24" s="3"/>
    </row>
    <row r="25" spans="1:9" x14ac:dyDescent="0.35">
      <c r="A25" s="28" t="s">
        <v>807</v>
      </c>
      <c r="B25" s="28">
        <v>7</v>
      </c>
      <c r="C25" s="23">
        <v>46157</v>
      </c>
      <c r="D25" s="3" t="s">
        <v>1040</v>
      </c>
      <c r="E25" s="3" t="s">
        <v>1040</v>
      </c>
      <c r="F25" s="3" t="s">
        <v>1042</v>
      </c>
      <c r="G25" s="23"/>
      <c r="H25" s="3"/>
      <c r="I25" s="3"/>
    </row>
    <row r="26" spans="1:9" x14ac:dyDescent="0.35">
      <c r="A26" s="28" t="s">
        <v>817</v>
      </c>
      <c r="B26" s="28">
        <v>7</v>
      </c>
      <c r="C26" s="23">
        <v>46139</v>
      </c>
      <c r="D26" s="3" t="s">
        <v>1040</v>
      </c>
      <c r="E26" s="3" t="s">
        <v>1040</v>
      </c>
      <c r="F26" s="3" t="s">
        <v>1040</v>
      </c>
      <c r="G26" s="23"/>
      <c r="H26" s="3"/>
      <c r="I26" s="3"/>
    </row>
    <row r="27" spans="1:9" x14ac:dyDescent="0.35">
      <c r="A27" s="28" t="s">
        <v>832</v>
      </c>
      <c r="B27" s="28">
        <v>7</v>
      </c>
      <c r="C27" s="23">
        <v>46199</v>
      </c>
      <c r="D27" s="3" t="s">
        <v>1040</v>
      </c>
      <c r="E27" s="3" t="s">
        <v>1040</v>
      </c>
      <c r="F27" s="3" t="s">
        <v>1040</v>
      </c>
      <c r="G27" s="23"/>
      <c r="H27" s="3"/>
      <c r="I27" s="3"/>
    </row>
    <row r="28" spans="1:9" x14ac:dyDescent="0.35">
      <c r="A28" s="27" t="s">
        <v>855</v>
      </c>
      <c r="B28" s="27">
        <v>7</v>
      </c>
      <c r="C28" s="23">
        <v>46051</v>
      </c>
      <c r="D28" s="3" t="s">
        <v>1040</v>
      </c>
      <c r="E28" s="3">
        <v>8</v>
      </c>
      <c r="F28" s="3" t="s">
        <v>1043</v>
      </c>
      <c r="G28" s="23"/>
      <c r="H28" s="3"/>
      <c r="I28" s="3"/>
    </row>
    <row r="29" spans="1:9" x14ac:dyDescent="0.35">
      <c r="A29" s="27" t="s">
        <v>1212</v>
      </c>
      <c r="B29" s="27">
        <v>7</v>
      </c>
      <c r="C29" s="3" t="s">
        <v>1040</v>
      </c>
      <c r="D29" s="3" t="s">
        <v>1078</v>
      </c>
      <c r="E29" s="3" t="s">
        <v>1040</v>
      </c>
      <c r="F29" s="3" t="s">
        <v>1043</v>
      </c>
      <c r="G29" s="23"/>
      <c r="H29" s="3"/>
      <c r="I29" s="3"/>
    </row>
    <row r="30" spans="1:9" x14ac:dyDescent="0.35">
      <c r="A30" s="28" t="s">
        <v>873</v>
      </c>
      <c r="B30" s="28">
        <v>7</v>
      </c>
      <c r="C30" s="23">
        <v>46111</v>
      </c>
      <c r="D30" s="3" t="s">
        <v>1067</v>
      </c>
      <c r="E30" s="3">
        <v>3</v>
      </c>
      <c r="F30" s="3" t="s">
        <v>1040</v>
      </c>
      <c r="G30" s="23" t="s">
        <v>1270</v>
      </c>
      <c r="H30" s="3"/>
      <c r="I30" s="3"/>
    </row>
    <row r="31" spans="1:9" x14ac:dyDescent="0.35">
      <c r="A31" s="28" t="s">
        <v>875</v>
      </c>
      <c r="B31" s="28">
        <v>7</v>
      </c>
      <c r="C31" s="23">
        <v>46146</v>
      </c>
      <c r="D31" s="3" t="s">
        <v>979</v>
      </c>
      <c r="E31" s="3">
        <v>3</v>
      </c>
      <c r="F31" s="3" t="s">
        <v>1040</v>
      </c>
      <c r="G31" s="23"/>
      <c r="H31" s="3"/>
      <c r="I31" s="3"/>
    </row>
    <row r="32" spans="1:9" x14ac:dyDescent="0.35">
      <c r="A32" s="28" t="s">
        <v>720</v>
      </c>
      <c r="B32" s="28">
        <v>7</v>
      </c>
      <c r="C32" s="3" t="s">
        <v>1159</v>
      </c>
      <c r="D32" s="3" t="s">
        <v>1040</v>
      </c>
      <c r="E32" s="3" t="s">
        <v>1040</v>
      </c>
      <c r="F32" s="3" t="s">
        <v>1040</v>
      </c>
      <c r="G32" s="3"/>
      <c r="H32" s="3"/>
      <c r="I32" s="3"/>
    </row>
    <row r="33" spans="1:9" x14ac:dyDescent="0.35">
      <c r="A33" s="28" t="s">
        <v>511</v>
      </c>
      <c r="B33" s="28">
        <v>7</v>
      </c>
      <c r="C33" s="23">
        <v>46035</v>
      </c>
      <c r="D33" s="3" t="s">
        <v>1040</v>
      </c>
      <c r="E33" s="3" t="s">
        <v>1040</v>
      </c>
      <c r="F33" s="3" t="s">
        <v>1043</v>
      </c>
      <c r="G33" s="23"/>
      <c r="H33" s="3"/>
      <c r="I33" s="3"/>
    </row>
    <row r="34" spans="1:9" x14ac:dyDescent="0.35">
      <c r="A34" s="28" t="s">
        <v>761</v>
      </c>
      <c r="B34" s="28">
        <v>7</v>
      </c>
      <c r="C34" s="23">
        <v>46127</v>
      </c>
      <c r="D34" s="3" t="s">
        <v>1067</v>
      </c>
      <c r="E34" s="3">
        <v>8</v>
      </c>
      <c r="F34" s="3" t="s">
        <v>1043</v>
      </c>
      <c r="G34" s="23"/>
      <c r="H34" s="3"/>
      <c r="I34" s="3"/>
    </row>
    <row r="35" spans="1:9" x14ac:dyDescent="0.35">
      <c r="A35" s="28" t="s">
        <v>866</v>
      </c>
      <c r="B35" s="28">
        <v>7</v>
      </c>
      <c r="C35" s="23">
        <v>46085</v>
      </c>
      <c r="D35" s="3" t="s">
        <v>1040</v>
      </c>
      <c r="E35" s="3" t="s">
        <v>1019</v>
      </c>
      <c r="F35" s="3" t="s">
        <v>1040</v>
      </c>
      <c r="G35" s="23"/>
      <c r="H35" s="3"/>
      <c r="I35" s="3"/>
    </row>
    <row r="36" spans="1:9" x14ac:dyDescent="0.35">
      <c r="A36" s="28" t="s">
        <v>926</v>
      </c>
      <c r="B36" s="28">
        <v>7</v>
      </c>
      <c r="C36" s="23" t="s">
        <v>1192</v>
      </c>
      <c r="D36" s="3" t="s">
        <v>1040</v>
      </c>
      <c r="E36" s="3" t="s">
        <v>1040</v>
      </c>
      <c r="F36" s="3" t="s">
        <v>1043</v>
      </c>
      <c r="G36" s="23"/>
      <c r="H36" s="3"/>
      <c r="I36" s="3"/>
    </row>
    <row r="37" spans="1:9" x14ac:dyDescent="0.35">
      <c r="A37" s="28" t="s">
        <v>927</v>
      </c>
      <c r="B37" s="28">
        <v>7</v>
      </c>
      <c r="C37" s="3" t="s">
        <v>1117</v>
      </c>
      <c r="D37" s="3" t="s">
        <v>1117</v>
      </c>
      <c r="E37" s="3" t="s">
        <v>1040</v>
      </c>
      <c r="F37" s="3" t="s">
        <v>1040</v>
      </c>
      <c r="G37" s="3"/>
      <c r="H37" s="3"/>
      <c r="I37" s="3"/>
    </row>
    <row r="38" spans="1:9" x14ac:dyDescent="0.35">
      <c r="A38" s="28" t="s">
        <v>1027</v>
      </c>
      <c r="B38" s="28">
        <v>7</v>
      </c>
      <c r="C38" s="3" t="s">
        <v>1040</v>
      </c>
      <c r="D38" s="3" t="s">
        <v>1040</v>
      </c>
      <c r="E38" s="3" t="s">
        <v>1040</v>
      </c>
      <c r="F38" s="3" t="s">
        <v>1040</v>
      </c>
      <c r="G38" s="3"/>
      <c r="H38" s="3"/>
      <c r="I38" s="3"/>
    </row>
    <row r="39" spans="1:9" x14ac:dyDescent="0.35">
      <c r="A39" s="28" t="s">
        <v>928</v>
      </c>
      <c r="B39" s="28">
        <v>7</v>
      </c>
      <c r="C39" s="23">
        <v>46079</v>
      </c>
      <c r="D39" s="3" t="s">
        <v>1040</v>
      </c>
      <c r="E39" s="3">
        <v>7</v>
      </c>
      <c r="F39" s="3" t="s">
        <v>1084</v>
      </c>
      <c r="G39" s="23"/>
      <c r="H39" s="3"/>
      <c r="I39" s="3"/>
    </row>
    <row r="40" spans="1:9" x14ac:dyDescent="0.35">
      <c r="A40" s="28"/>
      <c r="B40" s="28"/>
      <c r="C40" s="23"/>
      <c r="D40" s="3"/>
      <c r="E40" s="3"/>
      <c r="F40" s="3"/>
      <c r="G40" s="3"/>
      <c r="H40" s="3"/>
      <c r="I40" s="3"/>
    </row>
    <row r="41" spans="1:9" x14ac:dyDescent="0.35">
      <c r="A41" s="4"/>
      <c r="B41" s="4"/>
      <c r="C41" s="26"/>
      <c r="D41" s="3"/>
      <c r="F41" s="3"/>
      <c r="G41" s="3"/>
      <c r="H41" s="3"/>
    </row>
    <row r="42" spans="1:9" x14ac:dyDescent="0.35">
      <c r="A42" s="4"/>
      <c r="B42" s="4"/>
      <c r="C42" s="26"/>
      <c r="D42" s="3"/>
      <c r="F42" s="3"/>
      <c r="G42" s="3"/>
      <c r="H42" s="3"/>
    </row>
    <row r="43" spans="1:9" x14ac:dyDescent="0.35">
      <c r="A43" s="15"/>
      <c r="B43" s="15"/>
      <c r="C43" s="26"/>
      <c r="D43" s="3"/>
      <c r="F43" s="3"/>
      <c r="G43" s="3"/>
      <c r="H43" s="3"/>
    </row>
    <row r="44" spans="1:9" x14ac:dyDescent="0.35">
      <c r="A44" s="4"/>
      <c r="B44" s="4"/>
      <c r="C44" s="26"/>
      <c r="D44" s="3"/>
      <c r="F44" s="3"/>
      <c r="G44" s="3"/>
      <c r="H44" s="3"/>
    </row>
  </sheetData>
  <conditionalFormatting sqref="A2:H43">
    <cfRule type="expression" dxfId="21" priority="1">
      <formula>$H2 = 1</formula>
    </cfRule>
  </conditionalFormatting>
  <conditionalFormatting sqref="A44:H44">
    <cfRule type="expression" dxfId="20" priority="2">
      <formula>$J44 = 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3976-EF24-4EFA-B2B9-E23791AEC108}">
  <dimension ref="A1:I44"/>
  <sheetViews>
    <sheetView topLeftCell="B12" zoomScaleNormal="100" workbookViewId="0">
      <selection activeCell="G32" sqref="G32"/>
    </sheetView>
  </sheetViews>
  <sheetFormatPr defaultRowHeight="14.5" x14ac:dyDescent="0.35"/>
  <cols>
    <col min="1" max="1" width="44.7265625" bestFit="1" customWidth="1"/>
    <col min="2" max="2" width="7.7265625" bestFit="1" customWidth="1"/>
    <col min="3" max="3" width="15" bestFit="1" customWidth="1"/>
    <col min="4" max="4" width="52.26953125" bestFit="1" customWidth="1"/>
    <col min="5" max="5" width="22" bestFit="1" customWidth="1"/>
    <col min="6" max="6" width="27" bestFit="1" customWidth="1"/>
    <col min="7" max="7" width="17.26953125" bestFit="1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428</v>
      </c>
      <c r="B2" s="27">
        <v>8</v>
      </c>
      <c r="C2" s="23">
        <v>46204</v>
      </c>
      <c r="D2" s="3"/>
      <c r="E2" s="3" t="s">
        <v>1040</v>
      </c>
      <c r="F2" s="3" t="s">
        <v>1040</v>
      </c>
      <c r="G2" s="23">
        <v>46204</v>
      </c>
      <c r="H2" s="3">
        <v>1</v>
      </c>
      <c r="I2" s="3"/>
    </row>
    <row r="3" spans="1:9" x14ac:dyDescent="0.35">
      <c r="A3" s="28" t="s">
        <v>430</v>
      </c>
      <c r="B3" s="28">
        <v>8</v>
      </c>
      <c r="C3" s="23">
        <v>46097</v>
      </c>
      <c r="D3" s="3" t="s">
        <v>1040</v>
      </c>
      <c r="E3" s="3">
        <v>3</v>
      </c>
      <c r="F3" s="3" t="s">
        <v>1040</v>
      </c>
      <c r="G3" s="23">
        <v>46258</v>
      </c>
      <c r="H3" s="3">
        <v>1</v>
      </c>
      <c r="I3" s="3"/>
    </row>
    <row r="4" spans="1:9" x14ac:dyDescent="0.35">
      <c r="A4" s="28" t="s">
        <v>366</v>
      </c>
      <c r="B4" s="28">
        <v>8</v>
      </c>
      <c r="C4" s="23">
        <v>46097</v>
      </c>
      <c r="D4" s="3" t="s">
        <v>1040</v>
      </c>
      <c r="E4" s="3">
        <v>5</v>
      </c>
      <c r="F4" s="3" t="s">
        <v>1040</v>
      </c>
      <c r="G4" s="23">
        <v>46267</v>
      </c>
      <c r="H4" s="3"/>
      <c r="I4" s="3"/>
    </row>
    <row r="5" spans="1:9" x14ac:dyDescent="0.35">
      <c r="A5" s="28" t="s">
        <v>368</v>
      </c>
      <c r="B5" s="28">
        <v>8</v>
      </c>
      <c r="C5" s="3" t="s">
        <v>1040</v>
      </c>
      <c r="D5" s="3" t="s">
        <v>980</v>
      </c>
      <c r="E5" s="3">
        <v>8</v>
      </c>
      <c r="F5" s="3" t="s">
        <v>1043</v>
      </c>
      <c r="G5" s="3"/>
      <c r="H5" s="3"/>
      <c r="I5" s="3"/>
    </row>
    <row r="6" spans="1:9" ht="15.75" customHeight="1" x14ac:dyDescent="0.35">
      <c r="A6" s="28" t="s">
        <v>395</v>
      </c>
      <c r="B6" s="28">
        <v>8</v>
      </c>
      <c r="C6" s="23">
        <v>46097</v>
      </c>
      <c r="D6" s="3" t="s">
        <v>1040</v>
      </c>
      <c r="E6" s="3" t="s">
        <v>1040</v>
      </c>
      <c r="F6" s="3" t="s">
        <v>1040</v>
      </c>
      <c r="G6" s="23">
        <v>46267</v>
      </c>
      <c r="H6" s="3"/>
      <c r="I6" s="3"/>
    </row>
    <row r="7" spans="1:9" x14ac:dyDescent="0.35">
      <c r="A7" s="28" t="s">
        <v>693</v>
      </c>
      <c r="B7" s="28">
        <v>8</v>
      </c>
      <c r="C7" s="3" t="s">
        <v>1079</v>
      </c>
      <c r="D7" s="3" t="s">
        <v>1040</v>
      </c>
      <c r="E7" s="3" t="s">
        <v>1040</v>
      </c>
      <c r="F7" s="3" t="s">
        <v>1040</v>
      </c>
      <c r="G7" s="23"/>
      <c r="H7" s="3"/>
      <c r="I7" s="3"/>
    </row>
    <row r="8" spans="1:9" x14ac:dyDescent="0.35">
      <c r="A8" s="28" t="s">
        <v>412</v>
      </c>
      <c r="B8" s="28">
        <v>8</v>
      </c>
      <c r="C8" s="23">
        <v>46197</v>
      </c>
      <c r="D8" s="3" t="s">
        <v>1040</v>
      </c>
      <c r="E8" s="3" t="s">
        <v>1040</v>
      </c>
      <c r="F8" s="3" t="s">
        <v>1040</v>
      </c>
      <c r="G8" s="23"/>
      <c r="H8" s="3"/>
      <c r="I8" s="3"/>
    </row>
    <row r="9" spans="1:9" x14ac:dyDescent="0.35">
      <c r="A9" s="28" t="s">
        <v>422</v>
      </c>
      <c r="B9" s="28">
        <v>8</v>
      </c>
      <c r="C9" s="23">
        <v>46100</v>
      </c>
      <c r="D9" s="3" t="s">
        <v>1040</v>
      </c>
      <c r="E9" s="3">
        <v>1</v>
      </c>
      <c r="F9" s="3" t="s">
        <v>1040</v>
      </c>
      <c r="G9" s="23">
        <v>46258</v>
      </c>
      <c r="H9" s="3">
        <v>1</v>
      </c>
      <c r="I9" s="3"/>
    </row>
    <row r="10" spans="1:9" x14ac:dyDescent="0.35">
      <c r="A10" s="28" t="s">
        <v>694</v>
      </c>
      <c r="B10" s="28">
        <v>8</v>
      </c>
      <c r="C10" s="3" t="s">
        <v>1199</v>
      </c>
      <c r="D10" s="3" t="s">
        <v>1040</v>
      </c>
      <c r="E10" s="3" t="s">
        <v>1040</v>
      </c>
      <c r="F10" s="3"/>
      <c r="G10" s="3"/>
      <c r="H10" s="3"/>
      <c r="I10" s="3"/>
    </row>
    <row r="11" spans="1:9" x14ac:dyDescent="0.35">
      <c r="A11" s="28" t="s">
        <v>424</v>
      </c>
      <c r="B11" s="28">
        <v>8</v>
      </c>
      <c r="C11" s="23">
        <v>46141</v>
      </c>
      <c r="D11" s="3" t="s">
        <v>1040</v>
      </c>
      <c r="E11" s="3" t="s">
        <v>1040</v>
      </c>
      <c r="F11" s="3" t="s">
        <v>1040</v>
      </c>
      <c r="G11" s="23">
        <v>46261</v>
      </c>
      <c r="H11" s="3">
        <v>1</v>
      </c>
      <c r="I11" s="3"/>
    </row>
    <row r="12" spans="1:9" x14ac:dyDescent="0.35">
      <c r="A12" s="28" t="s">
        <v>471</v>
      </c>
      <c r="B12" s="28">
        <v>8</v>
      </c>
      <c r="C12" s="3" t="s">
        <v>1040</v>
      </c>
      <c r="D12" s="3" t="s">
        <v>1040</v>
      </c>
      <c r="E12" s="3">
        <v>3</v>
      </c>
      <c r="F12" s="3" t="s">
        <v>1040</v>
      </c>
      <c r="G12" s="23">
        <v>46259</v>
      </c>
      <c r="H12" s="3">
        <v>1</v>
      </c>
      <c r="I12" s="3"/>
    </row>
    <row r="13" spans="1:9" ht="14.25" customHeight="1" x14ac:dyDescent="0.35">
      <c r="A13" s="28" t="s">
        <v>564</v>
      </c>
      <c r="B13" s="28">
        <v>8</v>
      </c>
      <c r="C13" s="3" t="s">
        <v>1040</v>
      </c>
      <c r="D13" s="3" t="s">
        <v>1040</v>
      </c>
      <c r="E13" s="3">
        <v>3</v>
      </c>
      <c r="F13" s="3" t="s">
        <v>1040</v>
      </c>
      <c r="G13" s="23">
        <v>46261</v>
      </c>
      <c r="H13" s="3">
        <v>1</v>
      </c>
      <c r="I13" s="3"/>
    </row>
    <row r="14" spans="1:9" x14ac:dyDescent="0.35">
      <c r="A14" s="28" t="s">
        <v>581</v>
      </c>
      <c r="B14" s="28">
        <v>8</v>
      </c>
      <c r="C14" s="23">
        <v>46141</v>
      </c>
      <c r="D14" s="3" t="s">
        <v>1040</v>
      </c>
      <c r="E14" s="3" t="s">
        <v>1040</v>
      </c>
      <c r="F14" s="3" t="s">
        <v>1040</v>
      </c>
      <c r="G14" s="23" t="s">
        <v>1215</v>
      </c>
      <c r="H14" s="3">
        <v>1</v>
      </c>
      <c r="I14" s="3"/>
    </row>
    <row r="15" spans="1:9" x14ac:dyDescent="0.35">
      <c r="A15" s="27" t="s">
        <v>599</v>
      </c>
      <c r="B15" s="27">
        <v>8</v>
      </c>
      <c r="C15" s="23">
        <v>46163</v>
      </c>
      <c r="D15" s="3" t="s">
        <v>981</v>
      </c>
      <c r="E15" s="3" t="s">
        <v>1040</v>
      </c>
      <c r="F15" s="3" t="s">
        <v>1040</v>
      </c>
      <c r="G15" s="23"/>
      <c r="H15" s="3"/>
      <c r="I15" s="3"/>
    </row>
    <row r="16" spans="1:9" x14ac:dyDescent="0.35">
      <c r="A16" s="28" t="s">
        <v>603</v>
      </c>
      <c r="B16" s="28">
        <v>8</v>
      </c>
      <c r="C16" s="23">
        <v>46203</v>
      </c>
      <c r="D16" s="3" t="s">
        <v>1040</v>
      </c>
      <c r="E16" s="3">
        <v>3</v>
      </c>
      <c r="F16" s="3" t="s">
        <v>1040</v>
      </c>
      <c r="G16" s="23"/>
      <c r="H16" s="3"/>
      <c r="I16" s="3"/>
    </row>
    <row r="17" spans="1:9" x14ac:dyDescent="0.35">
      <c r="A17" s="28" t="s">
        <v>610</v>
      </c>
      <c r="B17" s="28">
        <v>8</v>
      </c>
      <c r="C17" s="23">
        <v>46099</v>
      </c>
      <c r="D17" s="3" t="s">
        <v>982</v>
      </c>
      <c r="E17" s="3">
        <v>3</v>
      </c>
      <c r="F17" s="3" t="s">
        <v>1040</v>
      </c>
      <c r="G17" s="23" t="s">
        <v>1214</v>
      </c>
      <c r="H17" s="3"/>
      <c r="I17" s="3"/>
    </row>
    <row r="18" spans="1:9" x14ac:dyDescent="0.35">
      <c r="A18" s="28" t="s">
        <v>631</v>
      </c>
      <c r="B18" s="28">
        <v>8</v>
      </c>
      <c r="C18" s="3" t="s">
        <v>1040</v>
      </c>
      <c r="D18" s="3" t="s">
        <v>983</v>
      </c>
      <c r="E18" s="3">
        <v>7</v>
      </c>
      <c r="F18" s="3" t="s">
        <v>1043</v>
      </c>
      <c r="G18" s="3"/>
      <c r="H18" s="3"/>
      <c r="I18" s="3"/>
    </row>
    <row r="19" spans="1:9" x14ac:dyDescent="0.35">
      <c r="A19" s="28" t="s">
        <v>633</v>
      </c>
      <c r="B19" s="28">
        <v>8</v>
      </c>
      <c r="C19" s="23">
        <v>46141</v>
      </c>
      <c r="D19" s="3" t="s">
        <v>1040</v>
      </c>
      <c r="E19" s="3">
        <v>7</v>
      </c>
      <c r="F19" s="3" t="s">
        <v>1040</v>
      </c>
      <c r="G19" s="23">
        <v>46267</v>
      </c>
      <c r="H19" s="3"/>
      <c r="I19" s="3"/>
    </row>
    <row r="20" spans="1:9" x14ac:dyDescent="0.35">
      <c r="A20" s="28" t="s">
        <v>387</v>
      </c>
      <c r="B20" s="28">
        <v>8</v>
      </c>
      <c r="C20" s="3" t="s">
        <v>1199</v>
      </c>
      <c r="D20" s="3" t="s">
        <v>1040</v>
      </c>
      <c r="E20" s="3" t="s">
        <v>1040</v>
      </c>
      <c r="F20" s="3" t="s">
        <v>1040</v>
      </c>
      <c r="G20" s="3"/>
      <c r="H20" s="3"/>
      <c r="I20" s="3"/>
    </row>
    <row r="21" spans="1:9" x14ac:dyDescent="0.35">
      <c r="A21" s="28" t="s">
        <v>651</v>
      </c>
      <c r="B21" s="28">
        <v>8</v>
      </c>
      <c r="C21" s="23">
        <v>46198</v>
      </c>
      <c r="D21" s="3" t="s">
        <v>984</v>
      </c>
      <c r="E21" s="3" t="s">
        <v>1040</v>
      </c>
      <c r="F21" s="3" t="s">
        <v>1042</v>
      </c>
      <c r="G21" s="23"/>
      <c r="H21" s="3"/>
      <c r="I21" s="3"/>
    </row>
    <row r="22" spans="1:9" x14ac:dyDescent="0.35">
      <c r="A22" s="28" t="s">
        <v>660</v>
      </c>
      <c r="B22" s="28">
        <v>8</v>
      </c>
      <c r="C22" s="23">
        <v>46104</v>
      </c>
      <c r="D22" s="3" t="s">
        <v>1109</v>
      </c>
      <c r="E22" s="3">
        <v>3</v>
      </c>
      <c r="F22" s="3" t="s">
        <v>1040</v>
      </c>
      <c r="G22" s="23" t="s">
        <v>1217</v>
      </c>
      <c r="H22" s="3"/>
      <c r="I22" s="3"/>
    </row>
    <row r="23" spans="1:9" x14ac:dyDescent="0.35">
      <c r="A23" s="27" t="s">
        <v>654</v>
      </c>
      <c r="B23" s="27">
        <v>8</v>
      </c>
      <c r="C23" s="3" t="s">
        <v>1199</v>
      </c>
      <c r="D23" s="3" t="s">
        <v>1040</v>
      </c>
      <c r="E23" s="3" t="s">
        <v>1040</v>
      </c>
      <c r="F23" s="3" t="s">
        <v>1040</v>
      </c>
      <c r="G23" s="3"/>
      <c r="H23" s="3"/>
      <c r="I23" s="3"/>
    </row>
    <row r="24" spans="1:9" x14ac:dyDescent="0.35">
      <c r="A24" s="28" t="s">
        <v>719</v>
      </c>
      <c r="B24" s="28">
        <v>8</v>
      </c>
      <c r="C24" s="23">
        <v>46106</v>
      </c>
      <c r="D24" s="3" t="s">
        <v>1040</v>
      </c>
      <c r="E24" s="3" t="s">
        <v>1040</v>
      </c>
      <c r="F24" s="3" t="s">
        <v>1040</v>
      </c>
      <c r="G24" s="23">
        <v>46275</v>
      </c>
      <c r="H24" s="3"/>
      <c r="I24" s="3"/>
    </row>
    <row r="25" spans="1:9" x14ac:dyDescent="0.35">
      <c r="A25" s="28" t="s">
        <v>824</v>
      </c>
      <c r="B25" s="28">
        <v>8</v>
      </c>
      <c r="C25" s="23">
        <v>46106</v>
      </c>
      <c r="D25" s="3" t="s">
        <v>985</v>
      </c>
      <c r="E25" s="3" t="s">
        <v>1040</v>
      </c>
      <c r="F25" s="3" t="s">
        <v>1040</v>
      </c>
      <c r="G25" s="23">
        <v>46275</v>
      </c>
      <c r="H25" s="3"/>
      <c r="I25" s="3"/>
    </row>
    <row r="26" spans="1:9" x14ac:dyDescent="0.35">
      <c r="A26" s="28" t="s">
        <v>835</v>
      </c>
      <c r="B26" s="28">
        <v>8</v>
      </c>
      <c r="C26" s="23">
        <v>46099</v>
      </c>
      <c r="D26" s="3" t="s">
        <v>1040</v>
      </c>
      <c r="E26" s="3">
        <v>3</v>
      </c>
      <c r="F26" s="3" t="s">
        <v>1040</v>
      </c>
      <c r="G26" s="23"/>
      <c r="H26" s="3"/>
      <c r="I26" s="3"/>
    </row>
    <row r="27" spans="1:9" x14ac:dyDescent="0.35">
      <c r="A27" s="27" t="s">
        <v>844</v>
      </c>
      <c r="B27" s="27">
        <v>8</v>
      </c>
      <c r="C27" s="23">
        <v>46104</v>
      </c>
      <c r="D27" s="3" t="s">
        <v>1040</v>
      </c>
      <c r="E27" s="3">
        <v>3</v>
      </c>
      <c r="F27" s="3" t="s">
        <v>1040</v>
      </c>
      <c r="G27" s="23" t="s">
        <v>1217</v>
      </c>
      <c r="H27" s="3"/>
      <c r="I27" s="3"/>
    </row>
    <row r="28" spans="1:9" x14ac:dyDescent="0.35">
      <c r="A28" s="28" t="s">
        <v>846</v>
      </c>
      <c r="B28" s="28">
        <v>8</v>
      </c>
      <c r="C28" s="23">
        <v>46163</v>
      </c>
      <c r="D28" s="3" t="s">
        <v>1040</v>
      </c>
      <c r="E28" s="3">
        <v>5</v>
      </c>
      <c r="F28" s="3" t="s">
        <v>1043</v>
      </c>
      <c r="G28" s="23"/>
      <c r="H28" s="3"/>
      <c r="I28" s="3"/>
    </row>
    <row r="29" spans="1:9" x14ac:dyDescent="0.35">
      <c r="A29" s="28" t="s">
        <v>847</v>
      </c>
      <c r="B29" s="28">
        <v>8</v>
      </c>
      <c r="C29" s="3" t="s">
        <v>1040</v>
      </c>
      <c r="D29" s="3" t="s">
        <v>986</v>
      </c>
      <c r="E29" s="3" t="s">
        <v>1040</v>
      </c>
      <c r="F29" s="3" t="s">
        <v>1043</v>
      </c>
      <c r="G29" s="3"/>
      <c r="H29" s="3"/>
      <c r="I29" s="3"/>
    </row>
    <row r="30" spans="1:9" x14ac:dyDescent="0.35">
      <c r="A30" s="28" t="s">
        <v>527</v>
      </c>
      <c r="B30" s="28">
        <v>8</v>
      </c>
      <c r="C30" s="23">
        <v>46104</v>
      </c>
      <c r="D30" s="3" t="s">
        <v>1040</v>
      </c>
      <c r="E30" s="3">
        <v>3</v>
      </c>
      <c r="F30" s="3" t="s">
        <v>1040</v>
      </c>
      <c r="G30" s="23"/>
      <c r="H30" s="3"/>
      <c r="I30" s="3"/>
    </row>
    <row r="31" spans="1:9" x14ac:dyDescent="0.35">
      <c r="A31" s="28" t="s">
        <v>892</v>
      </c>
      <c r="B31" s="28">
        <v>8</v>
      </c>
      <c r="C31" s="23">
        <v>46204</v>
      </c>
      <c r="D31" s="3" t="s">
        <v>1163</v>
      </c>
      <c r="E31" s="3" t="s">
        <v>1040</v>
      </c>
      <c r="F31" s="3" t="s">
        <v>1040</v>
      </c>
      <c r="G31" s="23">
        <v>46204</v>
      </c>
      <c r="H31" s="3">
        <v>1</v>
      </c>
      <c r="I31" s="3"/>
    </row>
    <row r="32" spans="1:9" x14ac:dyDescent="0.35">
      <c r="A32" s="28" t="s">
        <v>893</v>
      </c>
      <c r="B32" s="28">
        <v>8</v>
      </c>
      <c r="C32" s="23">
        <v>46104</v>
      </c>
      <c r="D32" s="3"/>
      <c r="E32" s="3" t="s">
        <v>1040</v>
      </c>
      <c r="F32" s="3" t="s">
        <v>1040</v>
      </c>
      <c r="G32" s="23"/>
      <c r="H32" s="3">
        <v>1</v>
      </c>
      <c r="I32" s="3"/>
    </row>
    <row r="33" spans="1:9" x14ac:dyDescent="0.35">
      <c r="A33" s="28"/>
      <c r="B33" s="28"/>
      <c r="C33" s="23"/>
      <c r="D33" s="3"/>
      <c r="E33" s="3"/>
      <c r="F33" s="3"/>
      <c r="G33" s="3"/>
      <c r="H33" s="3"/>
      <c r="I33" s="3"/>
    </row>
    <row r="34" spans="1:9" x14ac:dyDescent="0.35">
      <c r="A34" s="4"/>
      <c r="B34" s="4"/>
      <c r="C34" s="26"/>
      <c r="D34" s="3"/>
      <c r="F34" s="3"/>
      <c r="G34" s="3"/>
      <c r="H34" s="3"/>
    </row>
    <row r="35" spans="1:9" x14ac:dyDescent="0.35">
      <c r="A35" s="4"/>
      <c r="B35" s="4"/>
      <c r="C35" s="26"/>
      <c r="D35" s="3"/>
      <c r="F35" s="3"/>
      <c r="G35" s="3"/>
      <c r="H35" s="3"/>
    </row>
    <row r="36" spans="1:9" x14ac:dyDescent="0.35">
      <c r="A36" s="4"/>
      <c r="B36" s="4"/>
      <c r="C36" s="26"/>
      <c r="D36" s="3"/>
      <c r="F36" s="3"/>
      <c r="G36" s="3"/>
      <c r="H36" s="3"/>
    </row>
    <row r="37" spans="1:9" x14ac:dyDescent="0.35">
      <c r="A37" s="4"/>
      <c r="B37" s="4"/>
      <c r="C37" s="26"/>
      <c r="D37" s="3"/>
      <c r="F37" s="3"/>
      <c r="G37" s="3"/>
      <c r="H37" s="3"/>
    </row>
    <row r="38" spans="1:9" x14ac:dyDescent="0.35">
      <c r="A38" s="4"/>
      <c r="B38" s="4"/>
      <c r="C38" s="26"/>
      <c r="D38" s="3"/>
      <c r="F38" s="3"/>
      <c r="G38" s="3"/>
      <c r="H38" s="3"/>
    </row>
    <row r="39" spans="1:9" x14ac:dyDescent="0.35">
      <c r="A39" s="4"/>
      <c r="B39" s="4"/>
      <c r="C39" s="26"/>
      <c r="D39" s="3"/>
      <c r="F39" s="3"/>
      <c r="G39" s="3"/>
      <c r="H39" s="3"/>
    </row>
    <row r="40" spans="1:9" x14ac:dyDescent="0.35">
      <c r="A40" s="15"/>
      <c r="B40" s="15"/>
      <c r="C40" s="26"/>
      <c r="D40" s="3"/>
      <c r="F40" s="3"/>
      <c r="G40" s="3"/>
      <c r="H40" s="3"/>
    </row>
    <row r="41" spans="1:9" x14ac:dyDescent="0.35">
      <c r="A41" s="4"/>
      <c r="B41" s="4"/>
      <c r="C41" s="26"/>
      <c r="D41" s="3"/>
      <c r="F41" s="3"/>
      <c r="G41" s="3"/>
      <c r="H41" s="3"/>
    </row>
    <row r="42" spans="1:9" x14ac:dyDescent="0.35">
      <c r="A42" s="15"/>
      <c r="B42" s="15"/>
      <c r="C42" s="26"/>
      <c r="D42" s="3"/>
      <c r="F42" s="3"/>
      <c r="G42" s="3"/>
      <c r="H42" s="3"/>
    </row>
    <row r="43" spans="1:9" x14ac:dyDescent="0.35">
      <c r="A43" s="4"/>
      <c r="B43" s="4"/>
      <c r="C43" s="26"/>
      <c r="D43" s="3"/>
      <c r="F43" s="3"/>
      <c r="G43" s="3"/>
      <c r="H43" s="3"/>
    </row>
    <row r="44" spans="1:9" x14ac:dyDescent="0.35">
      <c r="A44" s="4"/>
      <c r="B44" s="4"/>
      <c r="C44" s="26"/>
      <c r="D44" s="3"/>
      <c r="F44" s="3"/>
      <c r="G44" s="3"/>
      <c r="H44" s="3"/>
    </row>
  </sheetData>
  <conditionalFormatting sqref="A2:H39">
    <cfRule type="expression" dxfId="19" priority="1">
      <formula>$H2 = 1</formula>
    </cfRule>
  </conditionalFormatting>
  <conditionalFormatting sqref="A40:H44">
    <cfRule type="expression" dxfId="18" priority="2">
      <formula>$J40 = 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0C98-CA9C-4085-BFA0-5EFDF93490EB}">
  <dimension ref="A1:I36"/>
  <sheetViews>
    <sheetView topLeftCell="D1" zoomScaleNormal="100" workbookViewId="0">
      <selection activeCell="G1" sqref="G1"/>
    </sheetView>
  </sheetViews>
  <sheetFormatPr defaultRowHeight="14.5" x14ac:dyDescent="0.35"/>
  <cols>
    <col min="1" max="1" width="38.54296875" bestFit="1" customWidth="1"/>
    <col min="2" max="2" width="7.7265625" bestFit="1" customWidth="1"/>
    <col min="3" max="3" width="29.26953125" bestFit="1" customWidth="1"/>
    <col min="4" max="4" width="49" customWidth="1"/>
    <col min="5" max="5" width="22" bestFit="1" customWidth="1"/>
    <col min="6" max="6" width="27" bestFit="1" customWidth="1"/>
    <col min="7" max="7" width="17.26953125" bestFit="1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375</v>
      </c>
      <c r="B2" s="27">
        <v>9</v>
      </c>
      <c r="C2" s="23">
        <v>46128</v>
      </c>
      <c r="D2" s="3" t="s">
        <v>1040</v>
      </c>
      <c r="E2" s="3">
        <v>3</v>
      </c>
      <c r="F2" s="3" t="s">
        <v>1040</v>
      </c>
      <c r="G2" s="23">
        <v>46281</v>
      </c>
      <c r="H2" s="3"/>
      <c r="I2" s="3"/>
    </row>
    <row r="3" spans="1:9" x14ac:dyDescent="0.35">
      <c r="A3" s="28" t="s">
        <v>377</v>
      </c>
      <c r="B3" s="28">
        <v>9</v>
      </c>
      <c r="C3" s="23">
        <v>46100</v>
      </c>
      <c r="D3" s="3" t="s">
        <v>1089</v>
      </c>
      <c r="E3" s="3" t="s">
        <v>1040</v>
      </c>
      <c r="F3" s="23" t="s">
        <v>1067</v>
      </c>
      <c r="G3" s="23"/>
      <c r="H3" s="3"/>
      <c r="I3" s="3"/>
    </row>
    <row r="4" spans="1:9" x14ac:dyDescent="0.35">
      <c r="A4" s="28" t="s">
        <v>480</v>
      </c>
      <c r="B4" s="28">
        <v>9</v>
      </c>
      <c r="C4" s="3" t="s">
        <v>1040</v>
      </c>
      <c r="D4" s="3" t="s">
        <v>1049</v>
      </c>
      <c r="E4" s="3" t="s">
        <v>1040</v>
      </c>
      <c r="F4" s="3" t="s">
        <v>1040</v>
      </c>
      <c r="G4" s="3"/>
      <c r="H4" s="3"/>
      <c r="I4" s="3"/>
    </row>
    <row r="5" spans="1:9" x14ac:dyDescent="0.35">
      <c r="A5" s="28" t="s">
        <v>561</v>
      </c>
      <c r="B5" s="28">
        <v>9</v>
      </c>
      <c r="C5" s="3" t="s">
        <v>1040</v>
      </c>
      <c r="D5" s="3" t="s">
        <v>987</v>
      </c>
      <c r="E5" s="3" t="s">
        <v>1040</v>
      </c>
      <c r="F5" s="3" t="s">
        <v>1040</v>
      </c>
      <c r="G5" s="3"/>
      <c r="H5" s="3"/>
      <c r="I5" s="3"/>
    </row>
    <row r="6" spans="1:9" x14ac:dyDescent="0.35">
      <c r="A6" s="28" t="s">
        <v>416</v>
      </c>
      <c r="B6" s="28">
        <v>9</v>
      </c>
      <c r="C6" s="23">
        <v>46146</v>
      </c>
      <c r="D6" s="3" t="s">
        <v>1040</v>
      </c>
      <c r="E6" s="3" t="s">
        <v>1040</v>
      </c>
      <c r="F6" s="3" t="s">
        <v>1040</v>
      </c>
      <c r="G6" s="23" t="s">
        <v>1263</v>
      </c>
      <c r="H6" s="3"/>
      <c r="I6" s="3"/>
    </row>
    <row r="7" spans="1:9" x14ac:dyDescent="0.35">
      <c r="A7" s="28" t="s">
        <v>426</v>
      </c>
      <c r="B7" s="28">
        <v>9</v>
      </c>
      <c r="C7" s="23">
        <v>46160</v>
      </c>
      <c r="D7" s="3" t="s">
        <v>1040</v>
      </c>
      <c r="E7" s="3" t="s">
        <v>1040</v>
      </c>
      <c r="F7" s="3" t="s">
        <v>1040</v>
      </c>
      <c r="G7" s="23"/>
      <c r="H7" s="3"/>
      <c r="I7" s="3"/>
    </row>
    <row r="8" spans="1:9" x14ac:dyDescent="0.35">
      <c r="A8" s="28" t="s">
        <v>704</v>
      </c>
      <c r="B8" s="28">
        <v>9</v>
      </c>
      <c r="C8" s="23">
        <v>46140</v>
      </c>
      <c r="D8" s="3" t="s">
        <v>1177</v>
      </c>
      <c r="E8" s="3">
        <v>3</v>
      </c>
      <c r="F8" s="3" t="s">
        <v>1040</v>
      </c>
      <c r="G8" s="23"/>
      <c r="H8" s="3"/>
      <c r="I8" s="3"/>
    </row>
    <row r="9" spans="1:9" x14ac:dyDescent="0.35">
      <c r="A9" s="28" t="s">
        <v>867</v>
      </c>
      <c r="B9" s="28">
        <v>9</v>
      </c>
      <c r="C9" s="3" t="s">
        <v>1200</v>
      </c>
      <c r="D9" s="3" t="s">
        <v>1040</v>
      </c>
      <c r="E9" s="3" t="s">
        <v>1040</v>
      </c>
      <c r="F9" s="3" t="s">
        <v>1040</v>
      </c>
      <c r="G9" s="3"/>
      <c r="H9" s="3"/>
      <c r="I9" s="3"/>
    </row>
    <row r="10" spans="1:9" x14ac:dyDescent="0.35">
      <c r="A10" s="28" t="s">
        <v>444</v>
      </c>
      <c r="B10" s="28">
        <v>9</v>
      </c>
      <c r="C10" s="23">
        <v>46181</v>
      </c>
      <c r="D10" s="3" t="s">
        <v>1040</v>
      </c>
      <c r="E10" s="3" t="s">
        <v>1040</v>
      </c>
      <c r="F10" s="3" t="s">
        <v>1040</v>
      </c>
      <c r="G10" s="23"/>
      <c r="H10" s="3"/>
      <c r="I10" s="3"/>
    </row>
    <row r="11" spans="1:9" x14ac:dyDescent="0.35">
      <c r="A11" s="28" t="s">
        <v>454</v>
      </c>
      <c r="B11" s="28">
        <v>9</v>
      </c>
      <c r="C11" s="23">
        <v>46146</v>
      </c>
      <c r="D11" s="3" t="s">
        <v>1040</v>
      </c>
      <c r="E11" s="3">
        <v>3</v>
      </c>
      <c r="F11" s="3" t="s">
        <v>1040</v>
      </c>
      <c r="G11" s="23"/>
      <c r="H11" s="3"/>
      <c r="I11" s="3"/>
    </row>
    <row r="12" spans="1:9" x14ac:dyDescent="0.35">
      <c r="A12" s="28" t="s">
        <v>712</v>
      </c>
      <c r="B12" s="28">
        <v>9</v>
      </c>
      <c r="C12" s="23">
        <v>46146</v>
      </c>
      <c r="D12" s="3" t="s">
        <v>1040</v>
      </c>
      <c r="E12" s="3">
        <v>3</v>
      </c>
      <c r="F12" s="3" t="s">
        <v>1040</v>
      </c>
      <c r="G12" s="23"/>
      <c r="H12" s="3"/>
      <c r="I12" s="3"/>
    </row>
    <row r="13" spans="1:9" x14ac:dyDescent="0.35">
      <c r="A13" s="28" t="s">
        <v>496</v>
      </c>
      <c r="B13" s="28">
        <v>9</v>
      </c>
      <c r="C13" s="23">
        <v>46162</v>
      </c>
      <c r="D13" s="3" t="s">
        <v>1088</v>
      </c>
      <c r="E13" s="3" t="s">
        <v>1040</v>
      </c>
      <c r="F13" s="3" t="s">
        <v>1040</v>
      </c>
      <c r="G13" s="23"/>
      <c r="H13" s="3"/>
      <c r="I13" s="3"/>
    </row>
    <row r="14" spans="1:9" x14ac:dyDescent="0.35">
      <c r="A14" s="28" t="s">
        <v>500</v>
      </c>
      <c r="B14" s="28">
        <v>9</v>
      </c>
      <c r="C14" s="23">
        <v>46174</v>
      </c>
      <c r="D14" s="3"/>
      <c r="E14" s="3" t="s">
        <v>1040</v>
      </c>
      <c r="F14" s="3" t="s">
        <v>1040</v>
      </c>
      <c r="G14" s="23" t="s">
        <v>1223</v>
      </c>
      <c r="H14" s="3"/>
      <c r="I14" s="3"/>
    </row>
    <row r="15" spans="1:9" x14ac:dyDescent="0.35">
      <c r="A15" s="27" t="s">
        <v>548</v>
      </c>
      <c r="B15" s="27">
        <v>9</v>
      </c>
      <c r="C15" s="3" t="s">
        <v>1200</v>
      </c>
      <c r="D15" s="3" t="s">
        <v>1040</v>
      </c>
      <c r="E15" s="3" t="s">
        <v>1040</v>
      </c>
      <c r="F15" s="3" t="s">
        <v>1040</v>
      </c>
      <c r="G15" s="3"/>
      <c r="H15" s="3"/>
      <c r="I15" s="3"/>
    </row>
    <row r="16" spans="1:9" x14ac:dyDescent="0.35">
      <c r="A16" s="28" t="s">
        <v>566</v>
      </c>
      <c r="B16" s="28">
        <v>9</v>
      </c>
      <c r="C16" s="23">
        <v>46183</v>
      </c>
      <c r="D16" s="3" t="s">
        <v>1040</v>
      </c>
      <c r="E16" s="3" t="s">
        <v>1040</v>
      </c>
      <c r="F16" s="3" t="s">
        <v>1040</v>
      </c>
      <c r="G16" s="23"/>
      <c r="H16" s="3"/>
      <c r="I16" s="3"/>
    </row>
    <row r="17" spans="1:9" x14ac:dyDescent="0.35">
      <c r="A17" s="28" t="s">
        <v>615</v>
      </c>
      <c r="B17" s="28">
        <v>9</v>
      </c>
      <c r="C17" s="23">
        <v>46154</v>
      </c>
      <c r="D17" s="3" t="s">
        <v>1040</v>
      </c>
      <c r="E17" s="3">
        <v>3</v>
      </c>
      <c r="F17" s="3" t="s">
        <v>1040</v>
      </c>
      <c r="G17" s="23"/>
      <c r="H17" s="3"/>
      <c r="I17" s="3"/>
    </row>
    <row r="18" spans="1:9" x14ac:dyDescent="0.35">
      <c r="A18" s="28" t="s">
        <v>585</v>
      </c>
      <c r="B18" s="28">
        <v>9</v>
      </c>
      <c r="C18" s="23">
        <v>46160</v>
      </c>
      <c r="D18" s="3" t="s">
        <v>1040</v>
      </c>
      <c r="E18" s="3" t="s">
        <v>1040</v>
      </c>
      <c r="F18" s="3" t="s">
        <v>1040</v>
      </c>
      <c r="G18" s="23"/>
      <c r="H18" s="3"/>
      <c r="I18" s="3"/>
    </row>
    <row r="19" spans="1:9" x14ac:dyDescent="0.35">
      <c r="A19" s="28" t="s">
        <v>912</v>
      </c>
      <c r="B19" s="28">
        <v>9</v>
      </c>
      <c r="C19" s="3" t="s">
        <v>1200</v>
      </c>
      <c r="D19" s="3" t="s">
        <v>1040</v>
      </c>
      <c r="E19" s="3" t="s">
        <v>1040</v>
      </c>
      <c r="F19" s="3" t="s">
        <v>1040</v>
      </c>
      <c r="G19" s="3"/>
      <c r="H19" s="3"/>
      <c r="I19" s="3"/>
    </row>
    <row r="20" spans="1:9" x14ac:dyDescent="0.35">
      <c r="A20" s="28" t="s">
        <v>913</v>
      </c>
      <c r="B20" s="28">
        <v>9</v>
      </c>
      <c r="C20" s="3" t="s">
        <v>1200</v>
      </c>
      <c r="D20" s="3" t="s">
        <v>1040</v>
      </c>
      <c r="E20" s="3" t="s">
        <v>1040</v>
      </c>
      <c r="F20" s="3" t="s">
        <v>1040</v>
      </c>
      <c r="G20" s="3"/>
      <c r="H20" s="3"/>
      <c r="I20" s="3"/>
    </row>
    <row r="21" spans="1:9" x14ac:dyDescent="0.35">
      <c r="A21" s="28" t="s">
        <v>634</v>
      </c>
      <c r="B21" s="28">
        <v>9</v>
      </c>
      <c r="C21" s="3" t="s">
        <v>1040</v>
      </c>
      <c r="D21" s="3" t="s">
        <v>988</v>
      </c>
      <c r="E21" s="3" t="s">
        <v>1021</v>
      </c>
      <c r="F21" s="3" t="s">
        <v>1043</v>
      </c>
      <c r="G21" s="3" t="s">
        <v>1223</v>
      </c>
      <c r="H21" s="3"/>
      <c r="I21" s="3"/>
    </row>
    <row r="22" spans="1:9" x14ac:dyDescent="0.35">
      <c r="A22" s="28" t="s">
        <v>668</v>
      </c>
      <c r="B22" s="28">
        <v>9</v>
      </c>
      <c r="C22" s="23">
        <v>46128</v>
      </c>
      <c r="D22" s="3" t="s">
        <v>989</v>
      </c>
      <c r="E22" s="3" t="s">
        <v>1020</v>
      </c>
      <c r="F22" s="3" t="s">
        <v>1040</v>
      </c>
      <c r="G22" s="23">
        <v>46268</v>
      </c>
      <c r="H22" s="3"/>
      <c r="I22" s="3"/>
    </row>
    <row r="23" spans="1:9" x14ac:dyDescent="0.35">
      <c r="A23" s="27" t="s">
        <v>672</v>
      </c>
      <c r="B23" s="27">
        <v>9</v>
      </c>
      <c r="C23" s="23">
        <v>46174</v>
      </c>
      <c r="D23" s="3" t="s">
        <v>990</v>
      </c>
      <c r="E23" s="3" t="s">
        <v>1040</v>
      </c>
      <c r="F23" s="3" t="s">
        <v>1040</v>
      </c>
      <c r="G23" s="23" t="s">
        <v>1222</v>
      </c>
      <c r="H23" s="3"/>
      <c r="I23" s="3"/>
    </row>
    <row r="24" spans="1:9" x14ac:dyDescent="0.35">
      <c r="A24" s="28" t="s">
        <v>705</v>
      </c>
      <c r="B24" s="28">
        <v>9</v>
      </c>
      <c r="C24" s="23">
        <v>46147</v>
      </c>
      <c r="D24" s="3" t="s">
        <v>991</v>
      </c>
      <c r="E24" s="3">
        <v>3</v>
      </c>
      <c r="F24" s="3" t="s">
        <v>1040</v>
      </c>
      <c r="G24" s="23">
        <v>46281</v>
      </c>
      <c r="H24" s="3"/>
      <c r="I24" s="3"/>
    </row>
    <row r="25" spans="1:9" x14ac:dyDescent="0.35">
      <c r="A25" s="28" t="s">
        <v>709</v>
      </c>
      <c r="B25" s="28">
        <v>9</v>
      </c>
      <c r="C25" s="23">
        <v>46128</v>
      </c>
      <c r="D25" s="3" t="s">
        <v>1040</v>
      </c>
      <c r="E25" s="3" t="s">
        <v>1040</v>
      </c>
      <c r="F25" s="3" t="s">
        <v>1040</v>
      </c>
      <c r="G25" s="23"/>
      <c r="H25" s="3"/>
      <c r="I25" s="3"/>
    </row>
    <row r="26" spans="1:9" x14ac:dyDescent="0.35">
      <c r="A26" s="28" t="s">
        <v>792</v>
      </c>
      <c r="B26" s="28">
        <v>9</v>
      </c>
      <c r="C26" s="23">
        <v>46128</v>
      </c>
      <c r="D26" s="3" t="s">
        <v>1040</v>
      </c>
      <c r="E26" s="3" t="s">
        <v>1040</v>
      </c>
      <c r="F26" s="3" t="s">
        <v>1040</v>
      </c>
      <c r="G26" s="23">
        <v>46268</v>
      </c>
      <c r="H26" s="3"/>
      <c r="I26" s="3"/>
    </row>
    <row r="27" spans="1:9" x14ac:dyDescent="0.35">
      <c r="A27" s="27" t="s">
        <v>868</v>
      </c>
      <c r="B27" s="27">
        <v>9</v>
      </c>
      <c r="C27" s="23">
        <v>46160</v>
      </c>
      <c r="D27" s="3" t="s">
        <v>1040</v>
      </c>
      <c r="E27" s="3" t="s">
        <v>1040</v>
      </c>
      <c r="F27" s="3" t="s">
        <v>1040</v>
      </c>
      <c r="G27" s="23">
        <v>46282</v>
      </c>
      <c r="H27" s="3"/>
      <c r="I27" s="3"/>
    </row>
    <row r="28" spans="1:9" x14ac:dyDescent="0.35">
      <c r="A28" s="28" t="s">
        <v>696</v>
      </c>
      <c r="B28" s="28">
        <v>9</v>
      </c>
      <c r="C28" s="3" t="s">
        <v>1040</v>
      </c>
      <c r="D28" s="3" t="s">
        <v>992</v>
      </c>
      <c r="E28" s="3">
        <v>11</v>
      </c>
      <c r="F28" s="3" t="s">
        <v>1040</v>
      </c>
      <c r="G28" s="3"/>
      <c r="H28" s="3"/>
      <c r="I28" s="3"/>
    </row>
    <row r="29" spans="1:9" x14ac:dyDescent="0.35">
      <c r="A29" s="28" t="s">
        <v>898</v>
      </c>
      <c r="B29" s="28">
        <v>9</v>
      </c>
      <c r="C29" s="23">
        <v>46183</v>
      </c>
      <c r="D29" s="3" t="s">
        <v>993</v>
      </c>
      <c r="E29" s="3">
        <v>3</v>
      </c>
      <c r="F29" s="3" t="s">
        <v>1043</v>
      </c>
      <c r="G29" s="23">
        <v>46282</v>
      </c>
      <c r="H29" s="3"/>
      <c r="I29" s="3"/>
    </row>
    <row r="30" spans="1:9" x14ac:dyDescent="0.35">
      <c r="A30" s="28"/>
      <c r="B30" s="28"/>
      <c r="C30" s="23"/>
      <c r="D30" s="3"/>
      <c r="E30" s="3"/>
      <c r="F30" s="3"/>
      <c r="G30" s="3"/>
      <c r="H30" s="3"/>
      <c r="I30" s="3"/>
    </row>
    <row r="31" spans="1:9" x14ac:dyDescent="0.35">
      <c r="A31" s="28"/>
      <c r="B31" s="28"/>
      <c r="C31" s="23"/>
      <c r="D31" s="3"/>
      <c r="E31" s="3"/>
      <c r="F31" s="3"/>
      <c r="G31" s="3"/>
      <c r="H31" s="3"/>
      <c r="I31" s="3"/>
    </row>
    <row r="32" spans="1:9" x14ac:dyDescent="0.35">
      <c r="A32" s="28"/>
      <c r="B32" s="28"/>
      <c r="C32" s="23"/>
      <c r="D32" s="3"/>
      <c r="E32" s="3"/>
      <c r="F32" s="3"/>
      <c r="G32" s="3"/>
      <c r="H32" s="3"/>
      <c r="I32" s="3"/>
    </row>
    <row r="33" spans="1:8" x14ac:dyDescent="0.35">
      <c r="A33" s="4"/>
      <c r="B33" s="4"/>
      <c r="C33" s="26"/>
      <c r="D33" s="3"/>
      <c r="F33" s="3"/>
      <c r="G33" s="3"/>
      <c r="H33" s="3"/>
    </row>
    <row r="34" spans="1:8" x14ac:dyDescent="0.35">
      <c r="A34" s="4"/>
      <c r="B34" s="4"/>
      <c r="C34" s="26"/>
      <c r="D34" s="3"/>
      <c r="F34" s="3"/>
      <c r="G34" s="3"/>
      <c r="H34" s="3"/>
    </row>
    <row r="35" spans="1:8" x14ac:dyDescent="0.35">
      <c r="A35" s="4"/>
      <c r="B35" s="4"/>
      <c r="C35" s="26"/>
      <c r="D35" s="3"/>
      <c r="F35" s="3"/>
      <c r="G35" s="3"/>
      <c r="H35" s="3"/>
    </row>
    <row r="36" spans="1:8" x14ac:dyDescent="0.35">
      <c r="A36" s="4"/>
      <c r="B36" s="4"/>
      <c r="C36" s="26"/>
      <c r="D36" s="3"/>
      <c r="F36" s="3"/>
      <c r="G36" s="3"/>
      <c r="H36" s="3"/>
    </row>
  </sheetData>
  <conditionalFormatting sqref="A35:A36 C35:H36">
    <cfRule type="expression" dxfId="17" priority="2">
      <formula>$J35 = 1</formula>
    </cfRule>
  </conditionalFormatting>
  <conditionalFormatting sqref="A2:H34 B35:B36">
    <cfRule type="expression" dxfId="16" priority="1">
      <formula>$H2 = 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119A-9294-4C1B-A639-EC1625206432}">
  <dimension ref="A1:H28"/>
  <sheetViews>
    <sheetView zoomScaleNormal="100" workbookViewId="0">
      <selection activeCell="K10" sqref="K10"/>
    </sheetView>
  </sheetViews>
  <sheetFormatPr defaultRowHeight="14.5" x14ac:dyDescent="0.35"/>
  <cols>
    <col min="1" max="1" width="29.26953125" bestFit="1" customWidth="1"/>
    <col min="2" max="2" width="7.7265625" bestFit="1" customWidth="1"/>
    <col min="3" max="3" width="12.26953125" bestFit="1" customWidth="1"/>
    <col min="4" max="4" width="31.54296875" bestFit="1" customWidth="1"/>
    <col min="5" max="5" width="22" bestFit="1" customWidth="1"/>
    <col min="6" max="6" width="27" bestFit="1" customWidth="1"/>
    <col min="7" max="7" width="17.26953125" bestFit="1" customWidth="1"/>
    <col min="8" max="8" width="6.81640625" bestFit="1" customWidth="1"/>
  </cols>
  <sheetData>
    <row r="1" spans="1:8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</row>
    <row r="2" spans="1:8" x14ac:dyDescent="0.35">
      <c r="A2" s="27" t="s">
        <v>483</v>
      </c>
      <c r="B2" s="27">
        <v>10</v>
      </c>
      <c r="C2" s="23">
        <v>46125</v>
      </c>
      <c r="D2" s="3" t="s">
        <v>1145</v>
      </c>
      <c r="E2" s="3" t="s">
        <v>1040</v>
      </c>
      <c r="F2" s="3" t="s">
        <v>1040</v>
      </c>
      <c r="G2" s="23" t="s">
        <v>1276</v>
      </c>
      <c r="H2" s="3"/>
    </row>
    <row r="3" spans="1:8" x14ac:dyDescent="0.35">
      <c r="A3" s="28" t="s">
        <v>515</v>
      </c>
      <c r="B3" s="28">
        <v>10</v>
      </c>
      <c r="C3" s="23">
        <v>46126</v>
      </c>
      <c r="D3" s="3" t="s">
        <v>994</v>
      </c>
      <c r="E3" s="3" t="s">
        <v>1040</v>
      </c>
      <c r="F3" s="3" t="s">
        <v>1040</v>
      </c>
      <c r="G3" s="23">
        <v>46287</v>
      </c>
      <c r="H3" s="3"/>
    </row>
    <row r="4" spans="1:8" x14ac:dyDescent="0.35">
      <c r="A4" s="28" t="s">
        <v>553</v>
      </c>
      <c r="B4" s="28">
        <v>10</v>
      </c>
      <c r="C4" s="23">
        <v>46126</v>
      </c>
      <c r="D4" s="3" t="s">
        <v>995</v>
      </c>
      <c r="E4" s="3">
        <v>3</v>
      </c>
      <c r="F4" s="3" t="s">
        <v>1040</v>
      </c>
      <c r="G4" s="23" t="s">
        <v>1277</v>
      </c>
      <c r="H4" s="3"/>
    </row>
    <row r="5" spans="1:8" x14ac:dyDescent="0.35">
      <c r="A5" s="28" t="s">
        <v>572</v>
      </c>
      <c r="B5" s="28">
        <v>10</v>
      </c>
      <c r="C5" s="23">
        <v>46126</v>
      </c>
      <c r="D5" s="3" t="s">
        <v>1040</v>
      </c>
      <c r="E5" s="3" t="s">
        <v>1040</v>
      </c>
      <c r="F5" s="3" t="s">
        <v>1040</v>
      </c>
      <c r="G5" s="23">
        <v>46283</v>
      </c>
      <c r="H5" s="3"/>
    </row>
    <row r="6" spans="1:8" x14ac:dyDescent="0.35">
      <c r="A6" s="28" t="s">
        <v>606</v>
      </c>
      <c r="B6" s="28">
        <v>10</v>
      </c>
      <c r="C6" s="23">
        <v>46126</v>
      </c>
      <c r="D6" s="3" t="s">
        <v>1147</v>
      </c>
      <c r="E6" s="3" t="s">
        <v>1040</v>
      </c>
      <c r="F6" s="3" t="s">
        <v>1040</v>
      </c>
      <c r="G6" s="23"/>
      <c r="H6" s="3"/>
    </row>
    <row r="7" spans="1:8" x14ac:dyDescent="0.35">
      <c r="A7" s="28" t="s">
        <v>1115</v>
      </c>
      <c r="B7" s="28">
        <v>10</v>
      </c>
      <c r="C7" s="23">
        <v>46125</v>
      </c>
      <c r="D7" s="3" t="s">
        <v>1116</v>
      </c>
      <c r="E7" s="3" t="s">
        <v>1040</v>
      </c>
      <c r="F7" s="3" t="s">
        <v>1040</v>
      </c>
      <c r="G7" s="23"/>
      <c r="H7" s="3"/>
    </row>
    <row r="8" spans="1:8" x14ac:dyDescent="0.35">
      <c r="A8" s="28" t="s">
        <v>642</v>
      </c>
      <c r="B8" s="28">
        <v>10</v>
      </c>
      <c r="C8" s="23">
        <v>46161</v>
      </c>
      <c r="D8" s="3" t="s">
        <v>996</v>
      </c>
      <c r="E8" s="3" t="s">
        <v>1040</v>
      </c>
      <c r="F8" s="3" t="s">
        <v>1040</v>
      </c>
      <c r="G8" s="23"/>
      <c r="H8" s="3"/>
    </row>
    <row r="9" spans="1:8" x14ac:dyDescent="0.35">
      <c r="A9" s="28" t="s">
        <v>643</v>
      </c>
      <c r="B9" s="28">
        <v>10</v>
      </c>
      <c r="C9" s="23">
        <v>46125</v>
      </c>
      <c r="D9" s="3" t="s">
        <v>1040</v>
      </c>
      <c r="E9" s="3" t="s">
        <v>1040</v>
      </c>
      <c r="F9" s="3" t="s">
        <v>1040</v>
      </c>
      <c r="G9" s="23">
        <v>46287</v>
      </c>
      <c r="H9" s="3"/>
    </row>
    <row r="10" spans="1:8" x14ac:dyDescent="0.35">
      <c r="A10" s="28" t="s">
        <v>647</v>
      </c>
      <c r="B10" s="28">
        <v>10</v>
      </c>
      <c r="C10" s="23" t="s">
        <v>1202</v>
      </c>
      <c r="D10" s="3" t="s">
        <v>1040</v>
      </c>
      <c r="E10" s="3">
        <v>3</v>
      </c>
      <c r="F10" s="3" t="s">
        <v>1040</v>
      </c>
      <c r="G10" s="23">
        <v>46286</v>
      </c>
      <c r="H10" s="3"/>
    </row>
    <row r="11" spans="1:8" x14ac:dyDescent="0.35">
      <c r="A11" s="28" t="s">
        <v>675</v>
      </c>
      <c r="B11" s="28">
        <v>10</v>
      </c>
      <c r="C11" s="3" t="s">
        <v>1159</v>
      </c>
      <c r="D11" s="3" t="s">
        <v>1040</v>
      </c>
      <c r="E11" s="3" t="s">
        <v>1040</v>
      </c>
      <c r="F11" s="3" t="s">
        <v>1040</v>
      </c>
      <c r="G11" s="3"/>
      <c r="H11" s="3"/>
    </row>
    <row r="12" spans="1:8" x14ac:dyDescent="0.35">
      <c r="A12" s="28" t="s">
        <v>715</v>
      </c>
      <c r="B12" s="28">
        <v>10</v>
      </c>
      <c r="C12" s="23">
        <v>46125</v>
      </c>
      <c r="D12" s="3" t="s">
        <v>1040</v>
      </c>
      <c r="E12" s="3" t="s">
        <v>1040</v>
      </c>
      <c r="F12" s="3" t="s">
        <v>1040</v>
      </c>
      <c r="G12" s="23"/>
      <c r="H12" s="3"/>
    </row>
    <row r="13" spans="1:8" x14ac:dyDescent="0.35">
      <c r="A13" s="28" t="s">
        <v>781</v>
      </c>
      <c r="B13" s="28">
        <v>10</v>
      </c>
      <c r="C13" s="23">
        <v>46133</v>
      </c>
      <c r="D13" s="3" t="s">
        <v>1040</v>
      </c>
      <c r="E13" s="3">
        <v>3</v>
      </c>
      <c r="F13" s="3" t="s">
        <v>1040</v>
      </c>
      <c r="G13" s="23">
        <v>46289</v>
      </c>
      <c r="H13" s="3"/>
    </row>
    <row r="14" spans="1:8" x14ac:dyDescent="0.35">
      <c r="A14" s="28" t="s">
        <v>785</v>
      </c>
      <c r="B14" s="28">
        <v>10</v>
      </c>
      <c r="C14" s="23">
        <v>46133</v>
      </c>
      <c r="D14" s="3" t="s">
        <v>1040</v>
      </c>
      <c r="E14" s="3" t="s">
        <v>1040</v>
      </c>
      <c r="F14" s="3" t="s">
        <v>1040</v>
      </c>
      <c r="G14" s="23"/>
      <c r="H14" s="3"/>
    </row>
    <row r="15" spans="1:8" x14ac:dyDescent="0.35">
      <c r="A15" s="27" t="s">
        <v>789</v>
      </c>
      <c r="B15" s="27">
        <v>10</v>
      </c>
      <c r="C15" s="23"/>
      <c r="D15" s="3" t="s">
        <v>1040</v>
      </c>
      <c r="E15" s="3" t="s">
        <v>1040</v>
      </c>
      <c r="F15" s="3" t="s">
        <v>1040</v>
      </c>
      <c r="G15" s="23"/>
      <c r="H15" s="3"/>
    </row>
    <row r="16" spans="1:8" x14ac:dyDescent="0.35">
      <c r="A16" s="28" t="s">
        <v>791</v>
      </c>
      <c r="B16" s="28">
        <v>10</v>
      </c>
      <c r="C16" s="3" t="s">
        <v>1040</v>
      </c>
      <c r="D16" s="3" t="s">
        <v>997</v>
      </c>
      <c r="E16" s="3" t="s">
        <v>1040</v>
      </c>
      <c r="F16" s="3" t="s">
        <v>1040</v>
      </c>
      <c r="G16" s="3"/>
      <c r="H16" s="3"/>
    </row>
    <row r="17" spans="1:8" x14ac:dyDescent="0.35">
      <c r="A17" s="28" t="s">
        <v>796</v>
      </c>
      <c r="B17" s="28">
        <v>10</v>
      </c>
      <c r="C17" s="3" t="s">
        <v>1159</v>
      </c>
      <c r="D17" s="3" t="s">
        <v>1040</v>
      </c>
      <c r="E17" s="3">
        <v>3</v>
      </c>
      <c r="F17" s="3" t="s">
        <v>1040</v>
      </c>
      <c r="G17" s="3"/>
      <c r="H17" s="3"/>
    </row>
    <row r="18" spans="1:8" x14ac:dyDescent="0.35">
      <c r="A18" s="28" t="s">
        <v>863</v>
      </c>
      <c r="B18" s="28">
        <v>10</v>
      </c>
      <c r="C18" s="3" t="s">
        <v>1159</v>
      </c>
      <c r="D18" s="3" t="s">
        <v>1040</v>
      </c>
      <c r="E18" s="3" t="s">
        <v>1040</v>
      </c>
      <c r="F18" s="3" t="s">
        <v>1040</v>
      </c>
      <c r="G18" s="3"/>
      <c r="H18" s="3"/>
    </row>
    <row r="19" spans="1:8" x14ac:dyDescent="0.35">
      <c r="A19" s="28" t="s">
        <v>574</v>
      </c>
      <c r="B19" s="28">
        <v>10</v>
      </c>
      <c r="C19" s="23">
        <v>46126</v>
      </c>
      <c r="D19" s="3" t="s">
        <v>1146</v>
      </c>
      <c r="E19" s="3" t="s">
        <v>1040</v>
      </c>
      <c r="F19" s="3" t="s">
        <v>1040</v>
      </c>
      <c r="G19" s="23"/>
      <c r="H19" s="3"/>
    </row>
    <row r="20" spans="1:8" x14ac:dyDescent="0.35">
      <c r="A20" s="28" t="s">
        <v>891</v>
      </c>
      <c r="B20" s="28">
        <v>10</v>
      </c>
      <c r="C20" s="23">
        <v>46142</v>
      </c>
      <c r="D20" s="3" t="s">
        <v>1040</v>
      </c>
      <c r="E20" s="3" t="s">
        <v>1040</v>
      </c>
      <c r="F20" s="3" t="s">
        <v>1040</v>
      </c>
      <c r="G20" s="23"/>
      <c r="H20" s="3"/>
    </row>
    <row r="21" spans="1:8" x14ac:dyDescent="0.35">
      <c r="A21" s="28"/>
      <c r="B21" s="28"/>
      <c r="C21" s="23"/>
      <c r="D21" s="3"/>
      <c r="E21" s="3"/>
      <c r="F21" s="3"/>
      <c r="G21" s="3"/>
      <c r="H21" s="3"/>
    </row>
    <row r="22" spans="1:8" x14ac:dyDescent="0.35">
      <c r="A22" s="28"/>
      <c r="B22" s="28"/>
      <c r="C22" s="23"/>
      <c r="D22" s="3"/>
      <c r="E22" s="3"/>
      <c r="F22" s="3"/>
      <c r="G22" s="3"/>
      <c r="H22" s="3"/>
    </row>
    <row r="23" spans="1:8" x14ac:dyDescent="0.35">
      <c r="A23" s="15"/>
      <c r="B23" s="15"/>
      <c r="C23" s="23"/>
      <c r="F23" s="3"/>
      <c r="G23" s="3"/>
      <c r="H23" s="3"/>
    </row>
    <row r="24" spans="1:8" x14ac:dyDescent="0.35">
      <c r="A24" s="4"/>
      <c r="B24" s="4"/>
      <c r="C24" s="26"/>
      <c r="D24" s="3"/>
      <c r="F24" s="3"/>
      <c r="G24" s="3"/>
      <c r="H24" s="3"/>
    </row>
    <row r="25" spans="1:8" x14ac:dyDescent="0.35">
      <c r="A25" s="4"/>
      <c r="B25" s="4"/>
      <c r="C25" s="26"/>
      <c r="D25" s="3"/>
      <c r="F25" s="3"/>
      <c r="G25" s="3"/>
      <c r="H25" s="3"/>
    </row>
    <row r="26" spans="1:8" x14ac:dyDescent="0.35">
      <c r="A26" s="4"/>
      <c r="B26" s="4"/>
      <c r="C26" s="26"/>
      <c r="D26" s="3"/>
      <c r="F26" s="3"/>
      <c r="G26" s="3"/>
      <c r="H26" s="3"/>
    </row>
    <row r="27" spans="1:8" x14ac:dyDescent="0.35">
      <c r="A27" s="15"/>
      <c r="B27" s="15"/>
      <c r="C27" s="26"/>
      <c r="D27" s="3"/>
      <c r="F27" s="3"/>
      <c r="G27" s="3"/>
      <c r="H27" s="3"/>
    </row>
    <row r="28" spans="1:8" x14ac:dyDescent="0.35">
      <c r="A28" s="4"/>
      <c r="B28" s="4"/>
      <c r="C28" s="26"/>
      <c r="D28" s="3"/>
      <c r="F28" s="3"/>
      <c r="G28" s="3"/>
      <c r="H28" s="3"/>
    </row>
  </sheetData>
  <conditionalFormatting sqref="A2:H27">
    <cfRule type="expression" dxfId="15" priority="1">
      <formula>$H2 = 1</formula>
    </cfRule>
  </conditionalFormatting>
  <conditionalFormatting sqref="A28:H28">
    <cfRule type="expression" dxfId="14" priority="2">
      <formula>$J28 = 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DBCD-F3B8-4227-A340-F2EC9E881350}">
  <dimension ref="A1:J28"/>
  <sheetViews>
    <sheetView zoomScaleNormal="100" workbookViewId="0">
      <selection activeCell="L30" sqref="L30"/>
    </sheetView>
  </sheetViews>
  <sheetFormatPr defaultRowHeight="14.5" x14ac:dyDescent="0.35"/>
  <cols>
    <col min="1" max="1" width="24.26953125" bestFit="1" customWidth="1"/>
    <col min="2" max="2" width="7.7265625" bestFit="1" customWidth="1"/>
    <col min="3" max="3" width="12.26953125" bestFit="1" customWidth="1"/>
    <col min="4" max="4" width="23.26953125" bestFit="1" customWidth="1"/>
    <col min="5" max="5" width="22" bestFit="1" customWidth="1"/>
    <col min="6" max="6" width="27" bestFit="1" customWidth="1"/>
    <col min="7" max="7" width="18.81640625" customWidth="1"/>
    <col min="8" max="8" width="16.26953125" customWidth="1"/>
  </cols>
  <sheetData>
    <row r="1" spans="1:10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29" t="s">
        <v>1048</v>
      </c>
      <c r="J1" s="3"/>
    </row>
    <row r="2" spans="1:10" x14ac:dyDescent="0.35">
      <c r="A2" s="27" t="s">
        <v>410</v>
      </c>
      <c r="B2" s="27">
        <v>11</v>
      </c>
      <c r="C2" s="23">
        <v>46111</v>
      </c>
      <c r="D2" s="3" t="s">
        <v>1040</v>
      </c>
      <c r="E2" s="3">
        <v>3</v>
      </c>
      <c r="F2" s="3" t="s">
        <v>1040</v>
      </c>
      <c r="G2" s="23"/>
      <c r="H2" s="3"/>
      <c r="I2" s="3"/>
      <c r="J2" s="3"/>
    </row>
    <row r="3" spans="1:10" x14ac:dyDescent="0.35">
      <c r="A3" s="28" t="s">
        <v>456</v>
      </c>
      <c r="B3" s="28">
        <v>11</v>
      </c>
      <c r="C3" s="23">
        <v>46099</v>
      </c>
      <c r="D3" s="3" t="s">
        <v>1040</v>
      </c>
      <c r="E3" s="3">
        <v>2</v>
      </c>
      <c r="F3" s="3" t="s">
        <v>1040</v>
      </c>
      <c r="G3" s="23"/>
      <c r="H3" s="3"/>
      <c r="I3" s="3"/>
      <c r="J3" s="3"/>
    </row>
    <row r="4" spans="1:10" x14ac:dyDescent="0.35">
      <c r="A4" s="28" t="s">
        <v>517</v>
      </c>
      <c r="B4" s="28">
        <v>11</v>
      </c>
      <c r="C4" s="23">
        <v>46175</v>
      </c>
      <c r="D4" s="3" t="s">
        <v>1040</v>
      </c>
      <c r="E4" s="3">
        <v>3</v>
      </c>
      <c r="F4" s="3" t="s">
        <v>1040</v>
      </c>
      <c r="G4" s="23"/>
      <c r="H4" s="3"/>
      <c r="I4" s="3"/>
      <c r="J4" s="3"/>
    </row>
    <row r="5" spans="1:10" x14ac:dyDescent="0.35">
      <c r="A5" s="28" t="s">
        <v>440</v>
      </c>
      <c r="B5" s="28">
        <v>11</v>
      </c>
      <c r="C5" s="3" t="s">
        <v>1040</v>
      </c>
      <c r="D5" s="3" t="s">
        <v>1040</v>
      </c>
      <c r="E5" s="3" t="s">
        <v>1040</v>
      </c>
      <c r="F5" s="3" t="s">
        <v>1040</v>
      </c>
      <c r="G5" s="3"/>
      <c r="H5" s="3"/>
      <c r="I5" s="3"/>
      <c r="J5" s="3"/>
    </row>
    <row r="6" spans="1:10" x14ac:dyDescent="0.35">
      <c r="A6" s="28" t="s">
        <v>664</v>
      </c>
      <c r="B6" s="28">
        <v>11</v>
      </c>
      <c r="C6" s="23">
        <v>46133</v>
      </c>
      <c r="D6" s="3" t="s">
        <v>1040</v>
      </c>
      <c r="E6" s="3">
        <v>3</v>
      </c>
      <c r="F6" s="3" t="s">
        <v>1040</v>
      </c>
      <c r="G6" s="23"/>
      <c r="H6" s="3"/>
      <c r="I6" s="3"/>
      <c r="J6" s="3"/>
    </row>
    <row r="7" spans="1:10" x14ac:dyDescent="0.35">
      <c r="A7" s="28" t="s">
        <v>766</v>
      </c>
      <c r="B7" s="28">
        <v>11</v>
      </c>
      <c r="C7" s="3" t="s">
        <v>1040</v>
      </c>
      <c r="D7" s="3" t="s">
        <v>1040</v>
      </c>
      <c r="E7" s="3" t="s">
        <v>1040</v>
      </c>
      <c r="F7" s="3" t="s">
        <v>1042</v>
      </c>
      <c r="G7" s="3"/>
      <c r="H7" s="3"/>
      <c r="I7" s="3"/>
      <c r="J7" s="3"/>
    </row>
    <row r="8" spans="1:10" x14ac:dyDescent="0.35">
      <c r="A8" s="28" t="s">
        <v>768</v>
      </c>
      <c r="B8" s="28">
        <v>11</v>
      </c>
      <c r="C8" s="3" t="s">
        <v>1040</v>
      </c>
      <c r="D8" s="3" t="s">
        <v>1040</v>
      </c>
      <c r="E8" s="3" t="s">
        <v>1040</v>
      </c>
      <c r="F8" s="3" t="s">
        <v>1040</v>
      </c>
      <c r="G8" s="3"/>
      <c r="H8" s="3"/>
      <c r="I8" s="3"/>
      <c r="J8" s="3"/>
    </row>
    <row r="9" spans="1:10" x14ac:dyDescent="0.35">
      <c r="A9" s="28" t="s">
        <v>776</v>
      </c>
      <c r="B9" s="28">
        <v>11</v>
      </c>
      <c r="C9" s="3" t="s">
        <v>1040</v>
      </c>
      <c r="D9" s="3" t="s">
        <v>990</v>
      </c>
      <c r="E9" s="3">
        <v>5</v>
      </c>
      <c r="F9" s="3" t="s">
        <v>1040</v>
      </c>
      <c r="G9" s="3"/>
      <c r="H9" s="3"/>
      <c r="I9" s="3"/>
      <c r="J9" s="3"/>
    </row>
    <row r="10" spans="1:10" x14ac:dyDescent="0.35">
      <c r="A10" s="28" t="s">
        <v>839</v>
      </c>
      <c r="B10" s="28">
        <v>11</v>
      </c>
      <c r="C10" s="23">
        <v>46175</v>
      </c>
      <c r="D10" s="3" t="s">
        <v>1040</v>
      </c>
      <c r="E10" s="3" t="s">
        <v>1040</v>
      </c>
      <c r="F10" s="3" t="s">
        <v>1040</v>
      </c>
      <c r="G10" s="23"/>
      <c r="H10" s="3"/>
      <c r="I10" s="3"/>
      <c r="J10" s="3"/>
    </row>
    <row r="11" spans="1:10" x14ac:dyDescent="0.35">
      <c r="A11" s="28" t="s">
        <v>924</v>
      </c>
      <c r="B11" s="28">
        <v>11</v>
      </c>
      <c r="C11" s="23">
        <v>46142</v>
      </c>
      <c r="D11" s="3" t="s">
        <v>1040</v>
      </c>
      <c r="E11" s="3" t="s">
        <v>1040</v>
      </c>
      <c r="F11" s="3" t="s">
        <v>1040</v>
      </c>
      <c r="G11" s="23"/>
      <c r="H11" s="3"/>
      <c r="I11" s="3"/>
      <c r="J11" s="3"/>
    </row>
    <row r="12" spans="1:10" x14ac:dyDescent="0.35">
      <c r="A12" s="28"/>
      <c r="B12" s="28"/>
      <c r="C12" s="23"/>
      <c r="D12" s="3"/>
      <c r="E12" s="3"/>
      <c r="F12" s="3"/>
      <c r="G12" s="3"/>
      <c r="H12" s="3"/>
      <c r="I12" s="3"/>
      <c r="J12" s="3"/>
    </row>
    <row r="13" spans="1:10" x14ac:dyDescent="0.35">
      <c r="A13" s="28"/>
      <c r="B13" s="28"/>
      <c r="C13" s="23"/>
      <c r="D13" s="3"/>
      <c r="E13" s="3"/>
      <c r="F13" s="3"/>
      <c r="G13" s="3"/>
      <c r="H13" s="3"/>
      <c r="I13" s="3"/>
      <c r="J13" s="3"/>
    </row>
    <row r="14" spans="1:10" x14ac:dyDescent="0.35">
      <c r="A14" s="28"/>
      <c r="B14" s="28"/>
      <c r="C14" s="23"/>
      <c r="D14" s="3"/>
      <c r="E14" s="3"/>
      <c r="F14" s="3"/>
      <c r="G14" s="3"/>
      <c r="H14" s="3"/>
      <c r="I14" s="3"/>
      <c r="J14" s="3"/>
    </row>
    <row r="15" spans="1:10" x14ac:dyDescent="0.35">
      <c r="A15" s="27"/>
      <c r="B15" s="27"/>
      <c r="C15" s="23"/>
      <c r="D15" s="3"/>
      <c r="E15" s="3"/>
      <c r="F15" s="3"/>
      <c r="G15" s="3"/>
      <c r="H15" s="3"/>
      <c r="I15" s="3"/>
      <c r="J15" s="3"/>
    </row>
    <row r="16" spans="1:10" x14ac:dyDescent="0.35">
      <c r="A16" s="28"/>
      <c r="B16" s="28"/>
      <c r="C16" s="23"/>
      <c r="D16" s="3"/>
      <c r="E16" s="3"/>
      <c r="F16" s="3"/>
      <c r="G16" s="3"/>
      <c r="H16" s="3"/>
      <c r="I16" s="3"/>
      <c r="J16" s="3"/>
    </row>
    <row r="17" spans="1:10" x14ac:dyDescent="0.35">
      <c r="A17" s="28"/>
      <c r="B17" s="28"/>
      <c r="C17" s="23"/>
      <c r="D17" s="3"/>
      <c r="E17" s="3"/>
      <c r="F17" s="3"/>
      <c r="G17" s="3"/>
      <c r="H17" s="3"/>
      <c r="I17" s="3"/>
      <c r="J17" s="3"/>
    </row>
    <row r="18" spans="1:10" x14ac:dyDescent="0.35">
      <c r="A18" s="28"/>
      <c r="B18" s="28"/>
      <c r="C18" s="23"/>
      <c r="D18" s="3"/>
      <c r="E18" s="3"/>
      <c r="F18" s="3"/>
      <c r="G18" s="3"/>
      <c r="H18" s="3"/>
      <c r="I18" s="3"/>
      <c r="J18" s="3"/>
    </row>
    <row r="19" spans="1:10" x14ac:dyDescent="0.35">
      <c r="A19" s="28"/>
      <c r="B19" s="28"/>
      <c r="C19" s="23"/>
      <c r="D19" s="3"/>
      <c r="E19" s="3"/>
      <c r="F19" s="3"/>
      <c r="G19" s="3"/>
      <c r="H19" s="3"/>
      <c r="I19" s="3"/>
      <c r="J19" s="3"/>
    </row>
    <row r="20" spans="1:10" x14ac:dyDescent="0.35">
      <c r="A20" s="28"/>
      <c r="B20" s="28"/>
      <c r="C20" s="23"/>
      <c r="D20" s="3"/>
      <c r="E20" s="3"/>
      <c r="F20" s="3"/>
      <c r="G20" s="3"/>
      <c r="H20" s="3"/>
      <c r="I20" s="3"/>
      <c r="J20" s="3"/>
    </row>
    <row r="21" spans="1:10" x14ac:dyDescent="0.35">
      <c r="A21" s="28"/>
      <c r="B21" s="28"/>
      <c r="C21" s="23"/>
      <c r="D21" s="3"/>
      <c r="E21" s="3"/>
      <c r="F21" s="3"/>
      <c r="G21" s="3"/>
      <c r="H21" s="3"/>
      <c r="I21" s="3"/>
      <c r="J21" s="3"/>
    </row>
    <row r="22" spans="1:10" x14ac:dyDescent="0.35">
      <c r="A22" s="28"/>
      <c r="B22" s="28"/>
      <c r="C22" s="23"/>
      <c r="D22" s="3"/>
      <c r="E22" s="3"/>
      <c r="F22" s="3"/>
      <c r="G22" s="3"/>
      <c r="H22" s="3"/>
      <c r="I22" s="3"/>
      <c r="J22" s="3"/>
    </row>
    <row r="23" spans="1:10" x14ac:dyDescent="0.35">
      <c r="A23" s="27"/>
      <c r="B23" s="27"/>
      <c r="C23" s="23"/>
      <c r="D23" s="3"/>
      <c r="E23" s="3"/>
      <c r="F23" s="3"/>
      <c r="G23" s="3"/>
      <c r="H23" s="3"/>
      <c r="I23" s="3"/>
      <c r="J23" s="3"/>
    </row>
    <row r="24" spans="1:10" x14ac:dyDescent="0.35">
      <c r="A24" s="28"/>
      <c r="B24" s="28"/>
      <c r="C24" s="23"/>
      <c r="D24" s="3"/>
      <c r="E24" s="3"/>
      <c r="F24" s="3"/>
      <c r="G24" s="3"/>
      <c r="H24" s="3"/>
      <c r="I24" s="3"/>
      <c r="J24" s="3"/>
    </row>
    <row r="25" spans="1:10" x14ac:dyDescent="0.35">
      <c r="A25" s="28"/>
      <c r="B25" s="28"/>
      <c r="C25" s="23"/>
      <c r="D25" s="3"/>
      <c r="E25" s="3"/>
      <c r="F25" s="3"/>
      <c r="G25" s="3"/>
      <c r="H25" s="3"/>
      <c r="I25" s="3"/>
      <c r="J25" s="3"/>
    </row>
    <row r="26" spans="1:10" x14ac:dyDescent="0.35">
      <c r="A26" s="28"/>
      <c r="B26" s="28"/>
      <c r="C26" s="23"/>
      <c r="D26" s="3"/>
      <c r="E26" s="3"/>
      <c r="F26" s="3"/>
      <c r="G26" s="3"/>
      <c r="H26" s="3"/>
      <c r="I26" s="3"/>
      <c r="J26" s="3"/>
    </row>
    <row r="27" spans="1:10" x14ac:dyDescent="0.35">
      <c r="A27" s="27"/>
      <c r="B27" s="27"/>
      <c r="C27" s="23"/>
      <c r="D27" s="3"/>
      <c r="E27" s="3"/>
      <c r="F27" s="3"/>
      <c r="G27" s="3"/>
      <c r="H27" s="3"/>
      <c r="I27" s="3"/>
      <c r="J27" s="3"/>
    </row>
    <row r="28" spans="1:10" x14ac:dyDescent="0.35">
      <c r="A28" s="15"/>
      <c r="B28" s="15"/>
      <c r="C28" s="26"/>
      <c r="D28" s="3"/>
      <c r="F28" s="3"/>
      <c r="G28" s="3"/>
      <c r="H28" s="3"/>
    </row>
  </sheetData>
  <conditionalFormatting sqref="A2:H28">
    <cfRule type="expression" dxfId="13" priority="1">
      <formula>$H2 = 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D279-CBE4-45EB-BC33-E6D4D4E98B9E}">
  <dimension ref="A1:I32"/>
  <sheetViews>
    <sheetView topLeftCell="B3" zoomScaleNormal="100" workbookViewId="0">
      <selection activeCell="H17" sqref="H17"/>
    </sheetView>
  </sheetViews>
  <sheetFormatPr defaultRowHeight="14.5" x14ac:dyDescent="0.35"/>
  <cols>
    <col min="1" max="1" width="41.26953125" bestFit="1" customWidth="1"/>
    <col min="2" max="2" width="7.7265625" bestFit="1" customWidth="1"/>
    <col min="3" max="3" width="15.26953125" bestFit="1" customWidth="1"/>
    <col min="4" max="4" width="35.26953125" bestFit="1" customWidth="1"/>
    <col min="5" max="5" width="22" bestFit="1" customWidth="1"/>
    <col min="6" max="6" width="27" bestFit="1" customWidth="1"/>
    <col min="7" max="7" width="17.26953125" bestFit="1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385</v>
      </c>
      <c r="B2" s="27">
        <v>12</v>
      </c>
      <c r="C2" s="23">
        <v>46134</v>
      </c>
      <c r="D2" s="3" t="s">
        <v>1040</v>
      </c>
      <c r="E2" s="3" t="s">
        <v>1040</v>
      </c>
      <c r="F2" s="3" t="s">
        <v>1040</v>
      </c>
      <c r="G2" s="23">
        <v>46260</v>
      </c>
      <c r="H2" s="3">
        <v>1</v>
      </c>
      <c r="I2" s="3"/>
    </row>
    <row r="3" spans="1:9" x14ac:dyDescent="0.35">
      <c r="A3" s="28" t="s">
        <v>404</v>
      </c>
      <c r="B3" s="28">
        <v>12</v>
      </c>
      <c r="C3" s="23">
        <v>46163</v>
      </c>
      <c r="D3" s="3"/>
      <c r="E3" s="3" t="s">
        <v>1040</v>
      </c>
      <c r="F3" s="3" t="s">
        <v>1040</v>
      </c>
      <c r="G3" s="23"/>
      <c r="H3" s="3"/>
      <c r="I3" s="3"/>
    </row>
    <row r="4" spans="1:9" x14ac:dyDescent="0.35">
      <c r="A4" s="28" t="s">
        <v>494</v>
      </c>
      <c r="B4" s="28">
        <v>12</v>
      </c>
      <c r="C4" s="23">
        <v>46163</v>
      </c>
      <c r="D4" s="3" t="s">
        <v>1040</v>
      </c>
      <c r="E4" s="3" t="s">
        <v>1040</v>
      </c>
      <c r="F4" s="3" t="s">
        <v>1040</v>
      </c>
      <c r="G4" s="23"/>
      <c r="H4" s="3"/>
      <c r="I4" s="3"/>
    </row>
    <row r="5" spans="1:9" x14ac:dyDescent="0.35">
      <c r="A5" s="28" t="s">
        <v>537</v>
      </c>
      <c r="B5" s="28">
        <v>12</v>
      </c>
      <c r="C5" s="23">
        <v>46134</v>
      </c>
      <c r="D5" s="3" t="s">
        <v>1040</v>
      </c>
      <c r="E5" s="3">
        <v>4</v>
      </c>
      <c r="F5" s="3" t="s">
        <v>1040</v>
      </c>
      <c r="G5" s="23">
        <v>46260</v>
      </c>
      <c r="H5" s="3">
        <v>1</v>
      </c>
      <c r="I5" s="3"/>
    </row>
    <row r="6" spans="1:9" x14ac:dyDescent="0.35">
      <c r="A6" s="28" t="s">
        <v>821</v>
      </c>
      <c r="B6" s="28">
        <v>12</v>
      </c>
      <c r="C6" s="23">
        <v>46163</v>
      </c>
      <c r="D6" s="3" t="s">
        <v>1040</v>
      </c>
      <c r="E6" s="3" t="s">
        <v>1040</v>
      </c>
      <c r="F6" s="3" t="s">
        <v>1040</v>
      </c>
      <c r="G6" s="23"/>
      <c r="H6" s="3"/>
      <c r="I6" s="3"/>
    </row>
    <row r="7" spans="1:9" x14ac:dyDescent="0.35">
      <c r="A7" s="28" t="s">
        <v>595</v>
      </c>
      <c r="B7" s="28">
        <v>12</v>
      </c>
      <c r="C7" s="23">
        <v>46134</v>
      </c>
      <c r="D7" s="3" t="s">
        <v>1040</v>
      </c>
      <c r="E7" s="3">
        <v>1</v>
      </c>
      <c r="F7" s="3" t="s">
        <v>1040</v>
      </c>
      <c r="G7" s="23" t="s">
        <v>1276</v>
      </c>
      <c r="H7" s="3"/>
      <c r="I7" s="3"/>
    </row>
    <row r="8" spans="1:9" x14ac:dyDescent="0.35">
      <c r="A8" s="28" t="s">
        <v>627</v>
      </c>
      <c r="B8" s="28">
        <v>12</v>
      </c>
      <c r="C8" s="23">
        <v>46139</v>
      </c>
      <c r="D8" s="3" t="s">
        <v>1040</v>
      </c>
      <c r="E8" s="3" t="s">
        <v>1040</v>
      </c>
      <c r="F8" s="3" t="s">
        <v>1040</v>
      </c>
      <c r="G8" s="23"/>
      <c r="H8" s="3"/>
      <c r="I8" s="3"/>
    </row>
    <row r="9" spans="1:9" x14ac:dyDescent="0.35">
      <c r="A9" s="28" t="s">
        <v>629</v>
      </c>
      <c r="B9" s="28">
        <v>12</v>
      </c>
      <c r="C9" s="23">
        <v>46198</v>
      </c>
      <c r="D9" s="3" t="s">
        <v>999</v>
      </c>
      <c r="E9" s="3" t="s">
        <v>1040</v>
      </c>
      <c r="F9" s="3" t="s">
        <v>1040</v>
      </c>
      <c r="G9" s="23"/>
      <c r="H9" s="3"/>
      <c r="I9" s="3"/>
    </row>
    <row r="10" spans="1:9" x14ac:dyDescent="0.35">
      <c r="A10" s="28" t="s">
        <v>662</v>
      </c>
      <c r="B10" s="28">
        <v>12</v>
      </c>
      <c r="C10" s="23">
        <v>46190</v>
      </c>
      <c r="D10" s="3" t="s">
        <v>1000</v>
      </c>
      <c r="E10" s="3">
        <v>3</v>
      </c>
      <c r="F10" s="3" t="s">
        <v>1040</v>
      </c>
      <c r="G10" s="23"/>
      <c r="H10" s="3"/>
      <c r="I10" s="3"/>
    </row>
    <row r="11" spans="1:9" x14ac:dyDescent="0.35">
      <c r="A11" s="28" t="s">
        <v>685</v>
      </c>
      <c r="B11" s="28">
        <v>12</v>
      </c>
      <c r="C11" s="3" t="s">
        <v>1040</v>
      </c>
      <c r="D11" s="3" t="s">
        <v>1001</v>
      </c>
      <c r="E11" s="3">
        <v>10</v>
      </c>
      <c r="F11" s="3" t="s">
        <v>1043</v>
      </c>
      <c r="G11" s="3"/>
      <c r="H11" s="3"/>
      <c r="I11" s="3"/>
    </row>
    <row r="12" spans="1:9" x14ac:dyDescent="0.35">
      <c r="A12" s="28" t="s">
        <v>687</v>
      </c>
      <c r="B12" s="28">
        <v>12</v>
      </c>
      <c r="C12" s="3" t="s">
        <v>1040</v>
      </c>
      <c r="D12" s="3" t="s">
        <v>1001</v>
      </c>
      <c r="E12" s="3">
        <v>10</v>
      </c>
      <c r="F12" s="3" t="s">
        <v>1043</v>
      </c>
      <c r="G12" s="3"/>
      <c r="H12" s="3"/>
      <c r="I12" s="3"/>
    </row>
    <row r="13" spans="1:9" x14ac:dyDescent="0.35">
      <c r="A13" s="28" t="s">
        <v>872</v>
      </c>
      <c r="B13" s="28">
        <v>12</v>
      </c>
      <c r="C13" s="3" t="s">
        <v>1040</v>
      </c>
      <c r="D13" s="3" t="s">
        <v>1179</v>
      </c>
      <c r="E13" s="3">
        <v>10</v>
      </c>
      <c r="F13" s="3" t="s">
        <v>1043</v>
      </c>
      <c r="G13" s="3"/>
      <c r="H13" s="3"/>
      <c r="I13" s="3"/>
    </row>
    <row r="14" spans="1:9" x14ac:dyDescent="0.35">
      <c r="A14" s="28" t="s">
        <v>364</v>
      </c>
      <c r="B14" s="28">
        <v>12</v>
      </c>
      <c r="C14" s="23">
        <v>46148</v>
      </c>
      <c r="D14" s="3" t="s">
        <v>1002</v>
      </c>
      <c r="E14" s="3" t="s">
        <v>1040</v>
      </c>
      <c r="F14" s="3" t="s">
        <v>1043</v>
      </c>
      <c r="G14" s="23"/>
      <c r="H14" s="3">
        <v>1</v>
      </c>
      <c r="I14" s="3"/>
    </row>
    <row r="15" spans="1:9" x14ac:dyDescent="0.35">
      <c r="A15" s="27" t="s">
        <v>698</v>
      </c>
      <c r="B15" s="27">
        <v>12</v>
      </c>
      <c r="C15" s="23">
        <v>46140</v>
      </c>
      <c r="D15" s="3" t="s">
        <v>1040</v>
      </c>
      <c r="E15" s="3">
        <v>4</v>
      </c>
      <c r="F15" s="3" t="s">
        <v>1043</v>
      </c>
      <c r="G15" s="23" t="s">
        <v>1278</v>
      </c>
      <c r="H15" s="3"/>
      <c r="I15" s="3"/>
    </row>
    <row r="16" spans="1:9" x14ac:dyDescent="0.35">
      <c r="A16" s="28" t="s">
        <v>699</v>
      </c>
      <c r="B16" s="28">
        <v>12</v>
      </c>
      <c r="C16" s="3" t="s">
        <v>1040</v>
      </c>
      <c r="D16" s="3" t="s">
        <v>1003</v>
      </c>
      <c r="E16" s="3">
        <v>3</v>
      </c>
      <c r="F16" s="3" t="s">
        <v>1040</v>
      </c>
      <c r="G16" s="3"/>
      <c r="H16" s="3"/>
      <c r="I16" s="3"/>
    </row>
    <row r="17" spans="1:9" x14ac:dyDescent="0.35">
      <c r="A17" s="28" t="s">
        <v>725</v>
      </c>
      <c r="B17" s="28">
        <v>12</v>
      </c>
      <c r="C17" s="3" t="s">
        <v>1159</v>
      </c>
      <c r="D17" s="3" t="s">
        <v>1040</v>
      </c>
      <c r="E17" s="3">
        <v>3</v>
      </c>
      <c r="F17" s="3" t="s">
        <v>1040</v>
      </c>
      <c r="G17" s="3"/>
      <c r="H17" s="3"/>
      <c r="I17" s="3"/>
    </row>
    <row r="18" spans="1:9" x14ac:dyDescent="0.35">
      <c r="A18" s="28" t="s">
        <v>803</v>
      </c>
      <c r="B18" s="28">
        <v>12</v>
      </c>
      <c r="C18" s="23" t="s">
        <v>1200</v>
      </c>
      <c r="D18" s="3" t="s">
        <v>1040</v>
      </c>
      <c r="E18" s="3">
        <v>1</v>
      </c>
      <c r="F18" s="3" t="s">
        <v>1040</v>
      </c>
      <c r="G18" s="23">
        <v>46260</v>
      </c>
      <c r="H18" s="3">
        <v>1</v>
      </c>
      <c r="I18" s="3"/>
    </row>
    <row r="19" spans="1:9" x14ac:dyDescent="0.35">
      <c r="A19" s="28" t="s">
        <v>850</v>
      </c>
      <c r="B19" s="28">
        <v>12</v>
      </c>
      <c r="C19" s="23">
        <v>46135</v>
      </c>
      <c r="D19" s="3" t="s">
        <v>1040</v>
      </c>
      <c r="E19" s="3">
        <v>3</v>
      </c>
      <c r="F19" s="3" t="s">
        <v>1040</v>
      </c>
      <c r="G19" s="23" t="s">
        <v>1279</v>
      </c>
      <c r="H19" s="3"/>
      <c r="I19" s="3"/>
    </row>
    <row r="20" spans="1:9" x14ac:dyDescent="0.35">
      <c r="A20" s="27" t="s">
        <v>852</v>
      </c>
      <c r="B20" s="27">
        <v>12</v>
      </c>
      <c r="C20" s="23">
        <v>46135</v>
      </c>
      <c r="D20" s="3" t="s">
        <v>1004</v>
      </c>
      <c r="E20" s="3">
        <v>3</v>
      </c>
      <c r="F20" s="3" t="s">
        <v>1040</v>
      </c>
      <c r="G20" s="23" t="s">
        <v>1279</v>
      </c>
      <c r="H20" s="3"/>
      <c r="I20" s="3"/>
    </row>
    <row r="21" spans="1:9" x14ac:dyDescent="0.35">
      <c r="A21" s="28" t="s">
        <v>888</v>
      </c>
      <c r="B21" s="28">
        <v>12</v>
      </c>
      <c r="C21" s="23">
        <v>46135</v>
      </c>
      <c r="D21" s="3" t="s">
        <v>1040</v>
      </c>
      <c r="E21" s="3">
        <v>0</v>
      </c>
      <c r="F21" s="3" t="s">
        <v>1040</v>
      </c>
      <c r="G21" s="23" t="s">
        <v>1279</v>
      </c>
      <c r="H21" s="3"/>
      <c r="I21" s="3"/>
    </row>
    <row r="22" spans="1:9" x14ac:dyDescent="0.35">
      <c r="A22" s="28" t="s">
        <v>903</v>
      </c>
      <c r="B22" s="28">
        <v>12</v>
      </c>
      <c r="C22" s="23">
        <v>46135</v>
      </c>
      <c r="D22" s="3" t="s">
        <v>1040</v>
      </c>
      <c r="E22" s="3">
        <v>3</v>
      </c>
      <c r="F22" s="3" t="s">
        <v>1042</v>
      </c>
      <c r="G22" s="23" t="s">
        <v>1279</v>
      </c>
      <c r="H22" s="3"/>
      <c r="I22" s="3"/>
    </row>
    <row r="23" spans="1:9" x14ac:dyDescent="0.35">
      <c r="A23" s="28" t="s">
        <v>907</v>
      </c>
      <c r="B23" s="28">
        <v>12</v>
      </c>
      <c r="C23" s="23">
        <v>46080</v>
      </c>
      <c r="D23" s="3" t="s">
        <v>1005</v>
      </c>
      <c r="E23" s="3">
        <v>4</v>
      </c>
      <c r="F23" s="3" t="s">
        <v>1040</v>
      </c>
      <c r="G23" s="23"/>
      <c r="H23" s="3"/>
      <c r="I23" s="3"/>
    </row>
    <row r="24" spans="1:9" x14ac:dyDescent="0.35">
      <c r="A24" s="28" t="s">
        <v>918</v>
      </c>
      <c r="B24" s="28">
        <v>12</v>
      </c>
      <c r="C24" s="23">
        <v>46134</v>
      </c>
      <c r="D24" s="3" t="s">
        <v>1040</v>
      </c>
      <c r="E24" s="3" t="s">
        <v>1040</v>
      </c>
      <c r="F24" s="3" t="s">
        <v>1040</v>
      </c>
      <c r="G24" s="23"/>
      <c r="H24" s="3"/>
      <c r="I24" s="3"/>
    </row>
    <row r="25" spans="1:9" x14ac:dyDescent="0.35">
      <c r="A25" s="28"/>
      <c r="B25" s="28"/>
      <c r="C25" s="23"/>
      <c r="D25" s="3"/>
      <c r="E25" s="3"/>
      <c r="F25" s="3"/>
      <c r="G25" s="3"/>
      <c r="H25" s="3"/>
      <c r="I25" s="3"/>
    </row>
    <row r="26" spans="1:9" x14ac:dyDescent="0.35">
      <c r="A26" s="28"/>
      <c r="B26" s="28"/>
      <c r="C26" s="23"/>
      <c r="D26" s="3"/>
      <c r="E26" s="3"/>
      <c r="F26" s="3"/>
      <c r="G26" s="3"/>
      <c r="H26" s="3"/>
      <c r="I26" s="3"/>
    </row>
    <row r="27" spans="1:9" x14ac:dyDescent="0.35">
      <c r="A27" s="4"/>
      <c r="B27" s="4"/>
      <c r="C27" s="26"/>
      <c r="D27" s="3"/>
      <c r="F27" s="3"/>
      <c r="G27" s="3"/>
      <c r="H27" s="3"/>
    </row>
    <row r="28" spans="1:9" x14ac:dyDescent="0.35">
      <c r="A28" s="4"/>
      <c r="B28" s="4"/>
      <c r="C28" s="26"/>
      <c r="D28" s="3"/>
      <c r="F28" s="3"/>
      <c r="G28" s="3"/>
      <c r="H28" s="3"/>
    </row>
    <row r="29" spans="1:9" x14ac:dyDescent="0.35">
      <c r="A29" s="4"/>
      <c r="B29" s="4"/>
      <c r="C29" s="26"/>
      <c r="D29" s="3"/>
      <c r="F29" s="3"/>
      <c r="G29" s="3"/>
      <c r="H29" s="3"/>
    </row>
    <row r="30" spans="1:9" x14ac:dyDescent="0.35">
      <c r="A30" s="4"/>
      <c r="B30" s="4"/>
      <c r="C30" s="26"/>
      <c r="D30" s="3"/>
      <c r="F30" s="3"/>
      <c r="G30" s="3"/>
      <c r="H30" s="3"/>
    </row>
    <row r="31" spans="1:9" x14ac:dyDescent="0.35">
      <c r="A31" s="4"/>
      <c r="B31" s="4"/>
      <c r="C31" s="26"/>
      <c r="D31" s="3"/>
      <c r="F31" s="3"/>
      <c r="G31" s="3"/>
      <c r="H31" s="3"/>
    </row>
    <row r="32" spans="1:9" x14ac:dyDescent="0.35">
      <c r="E32" s="3"/>
      <c r="F32" s="3"/>
    </row>
  </sheetData>
  <conditionalFormatting sqref="A2:H31">
    <cfRule type="expression" dxfId="12" priority="1">
      <formula>$H2 = 1</formula>
    </cfRule>
  </conditionalFormatting>
  <pageMargins left="0.7" right="0.7" top="0.75" bottom="0.75" header="0.3" footer="0.3"/>
  <pageSetup paperSize="11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8C26-7072-472B-9910-B0A7FFA7F545}">
  <dimension ref="A1:I24"/>
  <sheetViews>
    <sheetView topLeftCell="C2" zoomScaleNormal="100" workbookViewId="0">
      <selection activeCell="G14" sqref="G14"/>
    </sheetView>
  </sheetViews>
  <sheetFormatPr defaultRowHeight="14.5" x14ac:dyDescent="0.35"/>
  <cols>
    <col min="1" max="1" width="45.26953125" bestFit="1" customWidth="1"/>
    <col min="2" max="2" width="7.7265625" bestFit="1" customWidth="1"/>
    <col min="3" max="3" width="15.81640625" bestFit="1" customWidth="1"/>
    <col min="4" max="4" width="70.26953125" bestFit="1" customWidth="1"/>
    <col min="5" max="5" width="22" bestFit="1" customWidth="1"/>
    <col min="6" max="6" width="27" bestFit="1" customWidth="1"/>
    <col min="7" max="7" width="21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393</v>
      </c>
      <c r="B2" s="27">
        <v>13</v>
      </c>
      <c r="C2" s="23">
        <v>46112</v>
      </c>
      <c r="D2" s="3" t="s">
        <v>1040</v>
      </c>
      <c r="E2" s="3">
        <v>3</v>
      </c>
      <c r="F2" s="3" t="s">
        <v>1040</v>
      </c>
      <c r="G2" s="23" t="s">
        <v>1228</v>
      </c>
      <c r="H2" s="3"/>
      <c r="I2" s="3"/>
    </row>
    <row r="3" spans="1:9" x14ac:dyDescent="0.35">
      <c r="A3" s="28" t="s">
        <v>442</v>
      </c>
      <c r="B3" s="28">
        <v>13</v>
      </c>
      <c r="C3" s="23">
        <v>46112</v>
      </c>
      <c r="D3" s="3" t="s">
        <v>1040</v>
      </c>
      <c r="E3" s="3">
        <v>3</v>
      </c>
      <c r="F3" s="3" t="s">
        <v>1040</v>
      </c>
      <c r="G3" s="23" t="s">
        <v>1224</v>
      </c>
      <c r="H3" s="3"/>
      <c r="I3" s="3"/>
    </row>
    <row r="4" spans="1:9" x14ac:dyDescent="0.35">
      <c r="A4" s="28" t="s">
        <v>473</v>
      </c>
      <c r="B4" s="28">
        <v>13</v>
      </c>
      <c r="C4" s="3" t="s">
        <v>1166</v>
      </c>
      <c r="D4" s="3" t="s">
        <v>1040</v>
      </c>
      <c r="E4" s="3">
        <v>3</v>
      </c>
      <c r="F4" s="3" t="s">
        <v>1042</v>
      </c>
      <c r="G4" s="3"/>
      <c r="H4" s="3"/>
      <c r="I4" s="3"/>
    </row>
    <row r="5" spans="1:9" x14ac:dyDescent="0.35">
      <c r="A5" s="28" t="s">
        <v>509</v>
      </c>
      <c r="B5" s="28">
        <v>13</v>
      </c>
      <c r="C5" s="23">
        <v>46125</v>
      </c>
      <c r="D5" s="3" t="s">
        <v>1040</v>
      </c>
      <c r="E5" s="3">
        <v>3</v>
      </c>
      <c r="F5" s="3" t="s">
        <v>1040</v>
      </c>
      <c r="G5" s="23"/>
      <c r="H5" s="3"/>
      <c r="I5" s="3"/>
    </row>
    <row r="6" spans="1:9" x14ac:dyDescent="0.35">
      <c r="A6" s="28" t="s">
        <v>540</v>
      </c>
      <c r="B6" s="28">
        <v>13</v>
      </c>
      <c r="C6" s="3" t="s">
        <v>1100</v>
      </c>
      <c r="D6" s="3" t="s">
        <v>1233</v>
      </c>
      <c r="E6" s="3">
        <v>3</v>
      </c>
      <c r="F6" s="3"/>
      <c r="G6" s="3" t="s">
        <v>1231</v>
      </c>
      <c r="H6" s="3"/>
      <c r="I6" s="3"/>
    </row>
    <row r="7" spans="1:9" x14ac:dyDescent="0.35">
      <c r="A7" s="28" t="s">
        <v>589</v>
      </c>
      <c r="B7" s="28">
        <v>13</v>
      </c>
      <c r="C7" s="3" t="s">
        <v>1040</v>
      </c>
      <c r="D7" s="3" t="s">
        <v>1040</v>
      </c>
      <c r="E7" s="3">
        <v>3</v>
      </c>
      <c r="F7" s="3" t="s">
        <v>1040</v>
      </c>
      <c r="G7" s="3"/>
      <c r="H7" s="3"/>
      <c r="I7" s="3"/>
    </row>
    <row r="8" spans="1:9" x14ac:dyDescent="0.35">
      <c r="A8" s="28" t="s">
        <v>656</v>
      </c>
      <c r="B8" s="28">
        <v>13</v>
      </c>
      <c r="C8" s="3" t="s">
        <v>1167</v>
      </c>
      <c r="D8" s="3" t="s">
        <v>1006</v>
      </c>
      <c r="E8" s="3" t="s">
        <v>1040</v>
      </c>
      <c r="F8" s="3" t="s">
        <v>1040</v>
      </c>
      <c r="G8" s="3"/>
      <c r="H8" s="3"/>
      <c r="I8" s="3"/>
    </row>
    <row r="9" spans="1:9" x14ac:dyDescent="0.35">
      <c r="A9" s="28" t="s">
        <v>448</v>
      </c>
      <c r="B9" s="28">
        <v>13</v>
      </c>
      <c r="C9" s="3" t="s">
        <v>1040</v>
      </c>
      <c r="D9" s="3" t="s">
        <v>1040</v>
      </c>
      <c r="E9" s="3">
        <v>12</v>
      </c>
      <c r="F9" s="3" t="s">
        <v>1040</v>
      </c>
      <c r="G9" s="3" t="s">
        <v>1229</v>
      </c>
      <c r="H9" s="3"/>
      <c r="I9" s="3"/>
    </row>
    <row r="10" spans="1:9" x14ac:dyDescent="0.35">
      <c r="A10" s="28" t="s">
        <v>681</v>
      </c>
      <c r="B10" s="28">
        <v>13</v>
      </c>
      <c r="C10" s="23">
        <v>46125</v>
      </c>
      <c r="D10" s="3" t="s">
        <v>1040</v>
      </c>
      <c r="E10" s="3" t="s">
        <v>1040</v>
      </c>
      <c r="F10" s="3" t="s">
        <v>1040</v>
      </c>
      <c r="G10" s="23" t="s">
        <v>1232</v>
      </c>
      <c r="H10" s="3"/>
      <c r="I10" s="3"/>
    </row>
    <row r="11" spans="1:9" x14ac:dyDescent="0.35">
      <c r="A11" s="28" t="s">
        <v>670</v>
      </c>
      <c r="B11" s="28">
        <v>13</v>
      </c>
      <c r="C11" s="3" t="s">
        <v>1040</v>
      </c>
      <c r="D11" s="3" t="s">
        <v>1040</v>
      </c>
      <c r="E11" s="3" t="s">
        <v>1040</v>
      </c>
      <c r="F11" s="3" t="s">
        <v>1040</v>
      </c>
      <c r="G11" s="3"/>
      <c r="H11" s="3"/>
      <c r="I11" s="3"/>
    </row>
    <row r="12" spans="1:9" x14ac:dyDescent="0.35">
      <c r="A12" s="28" t="s">
        <v>770</v>
      </c>
      <c r="B12" s="28">
        <v>13</v>
      </c>
      <c r="C12" s="3" t="s">
        <v>1040</v>
      </c>
      <c r="D12" s="3" t="s">
        <v>1007</v>
      </c>
      <c r="E12" s="3">
        <v>3</v>
      </c>
      <c r="F12" s="3" t="s">
        <v>1040</v>
      </c>
      <c r="G12" s="3"/>
      <c r="H12" s="3"/>
      <c r="I12" s="3"/>
    </row>
    <row r="13" spans="1:9" x14ac:dyDescent="0.35">
      <c r="A13" s="28" t="s">
        <v>800</v>
      </c>
      <c r="B13" s="28">
        <v>13</v>
      </c>
      <c r="C13" s="3"/>
      <c r="D13" s="3"/>
      <c r="E13" s="3">
        <v>3</v>
      </c>
      <c r="F13" s="3" t="s">
        <v>1040</v>
      </c>
      <c r="G13" s="3" t="s">
        <v>1246</v>
      </c>
      <c r="H13" s="3"/>
      <c r="I13" s="3"/>
    </row>
    <row r="14" spans="1:9" x14ac:dyDescent="0.35">
      <c r="A14" s="28" t="s">
        <v>841</v>
      </c>
      <c r="B14" s="28">
        <v>13</v>
      </c>
      <c r="C14" s="3" t="s">
        <v>1056</v>
      </c>
      <c r="D14" s="3" t="s">
        <v>1008</v>
      </c>
      <c r="E14" s="3">
        <v>8</v>
      </c>
      <c r="F14" s="3" t="s">
        <v>1040</v>
      </c>
      <c r="G14" s="3"/>
      <c r="H14" s="3"/>
      <c r="I14" s="3"/>
    </row>
    <row r="15" spans="1:9" x14ac:dyDescent="0.35">
      <c r="A15" s="27" t="s">
        <v>843</v>
      </c>
      <c r="B15" s="27">
        <v>13</v>
      </c>
      <c r="C15" s="23" t="s">
        <v>1040</v>
      </c>
      <c r="D15" s="3" t="s">
        <v>1009</v>
      </c>
      <c r="E15" s="3">
        <v>3</v>
      </c>
      <c r="F15" s="3" t="s">
        <v>1040</v>
      </c>
      <c r="G15" s="23"/>
      <c r="H15" s="3"/>
      <c r="I15" s="3"/>
    </row>
    <row r="16" spans="1:9" x14ac:dyDescent="0.35">
      <c r="A16" s="28" t="s">
        <v>880</v>
      </c>
      <c r="B16" s="28">
        <v>13</v>
      </c>
      <c r="C16" s="45">
        <v>46113</v>
      </c>
      <c r="D16" s="3" t="s">
        <v>1010</v>
      </c>
      <c r="E16" s="3">
        <v>3</v>
      </c>
      <c r="F16" s="3" t="s">
        <v>1040</v>
      </c>
      <c r="G16" s="45" t="s">
        <v>1244</v>
      </c>
      <c r="H16" s="3"/>
      <c r="I16" s="3"/>
    </row>
    <row r="17" spans="1:9" x14ac:dyDescent="0.35">
      <c r="A17" s="28" t="s">
        <v>929</v>
      </c>
      <c r="B17" s="28">
        <v>13</v>
      </c>
      <c r="C17" s="3" t="s">
        <v>1040</v>
      </c>
      <c r="D17" s="3" t="s">
        <v>1040</v>
      </c>
      <c r="E17" s="3" t="s">
        <v>1040</v>
      </c>
      <c r="F17" s="3" t="s">
        <v>1040</v>
      </c>
      <c r="G17" s="45" t="s">
        <v>1227</v>
      </c>
      <c r="H17" s="3"/>
      <c r="I17" s="3"/>
    </row>
    <row r="18" spans="1:9" x14ac:dyDescent="0.35">
      <c r="A18" s="28" t="s">
        <v>535</v>
      </c>
      <c r="B18" s="28">
        <v>13</v>
      </c>
      <c r="C18" s="45">
        <v>46112</v>
      </c>
      <c r="D18" s="3" t="s">
        <v>1013</v>
      </c>
      <c r="E18" s="3">
        <v>3</v>
      </c>
      <c r="F18" s="3" t="s">
        <v>1040</v>
      </c>
      <c r="G18" t="s">
        <v>1245</v>
      </c>
      <c r="H18" s="3"/>
      <c r="I18" s="3"/>
    </row>
    <row r="19" spans="1:9" x14ac:dyDescent="0.35">
      <c r="A19" s="27" t="s">
        <v>544</v>
      </c>
      <c r="B19" s="27">
        <v>13</v>
      </c>
      <c r="C19" s="23">
        <v>46182</v>
      </c>
      <c r="D19" s="3" t="s">
        <v>1040</v>
      </c>
      <c r="E19" s="3">
        <v>13</v>
      </c>
      <c r="F19" s="3" t="s">
        <v>1044</v>
      </c>
      <c r="G19" s="23"/>
      <c r="H19" s="3"/>
      <c r="I19" s="3"/>
    </row>
    <row r="20" spans="1:9" x14ac:dyDescent="0.35">
      <c r="A20" s="28"/>
      <c r="B20" s="28"/>
      <c r="C20" s="23"/>
      <c r="D20" s="3"/>
      <c r="E20" s="3"/>
      <c r="F20" s="3"/>
      <c r="G20" s="3"/>
      <c r="H20" s="3"/>
      <c r="I20" s="3"/>
    </row>
    <row r="21" spans="1:9" x14ac:dyDescent="0.35">
      <c r="A21" s="28"/>
      <c r="B21" s="28"/>
      <c r="C21" s="23"/>
      <c r="D21" s="3"/>
      <c r="E21" s="3"/>
      <c r="F21" s="3"/>
      <c r="G21" s="3"/>
      <c r="H21" s="3"/>
      <c r="I21" s="3"/>
    </row>
    <row r="22" spans="1:9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5">
      <c r="E23" s="3"/>
      <c r="F23" s="3"/>
    </row>
    <row r="24" spans="1:9" x14ac:dyDescent="0.35">
      <c r="E24" s="3"/>
      <c r="F24" s="3"/>
    </row>
  </sheetData>
  <conditionalFormatting sqref="A2:H16 A17:F18 H17:H18 A19:H21">
    <cfRule type="expression" dxfId="11" priority="1">
      <formula>$H2 = 1</formula>
    </cfRule>
  </conditionalFormatting>
  <conditionalFormatting sqref="G17">
    <cfRule type="expression" dxfId="10" priority="13">
      <formula>$H18 = 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BA64-5CDE-4C1B-BDCE-42F1BDA1AEF7}">
  <dimension ref="A1:I30"/>
  <sheetViews>
    <sheetView zoomScaleNormal="100" workbookViewId="0">
      <selection activeCell="Q16" sqref="Q16"/>
    </sheetView>
  </sheetViews>
  <sheetFormatPr defaultRowHeight="14.5" x14ac:dyDescent="0.35"/>
  <cols>
    <col min="1" max="1" width="42" bestFit="1" customWidth="1"/>
    <col min="2" max="2" width="7.7265625" bestFit="1" customWidth="1"/>
    <col min="3" max="3" width="12.26953125" bestFit="1" customWidth="1"/>
    <col min="4" max="4" width="40" bestFit="1" customWidth="1"/>
    <col min="5" max="5" width="22" bestFit="1" customWidth="1"/>
    <col min="6" max="6" width="17.26953125" bestFit="1" customWidth="1"/>
    <col min="7" max="7" width="20" customWidth="1"/>
    <col min="8" max="8" width="6.81640625" bestFit="1" customWidth="1"/>
  </cols>
  <sheetData>
    <row r="1" spans="1:9" ht="16" thickBot="1" x14ac:dyDescent="0.4">
      <c r="A1" s="8" t="s">
        <v>363</v>
      </c>
      <c r="B1" s="8" t="s">
        <v>955</v>
      </c>
      <c r="C1" s="9" t="s">
        <v>956</v>
      </c>
      <c r="D1" s="8" t="s">
        <v>957</v>
      </c>
      <c r="E1" s="8" t="s">
        <v>958</v>
      </c>
      <c r="F1" s="8" t="s">
        <v>1041</v>
      </c>
      <c r="G1" s="22" t="s">
        <v>1045</v>
      </c>
      <c r="H1" s="29" t="s">
        <v>1046</v>
      </c>
      <c r="I1" s="3"/>
    </row>
    <row r="2" spans="1:9" x14ac:dyDescent="0.35">
      <c r="A2" s="27" t="s">
        <v>772</v>
      </c>
      <c r="B2" s="27">
        <v>14</v>
      </c>
      <c r="C2" s="3" t="s">
        <v>1169</v>
      </c>
      <c r="D2" s="3" t="s">
        <v>1040</v>
      </c>
      <c r="E2" s="3">
        <v>3</v>
      </c>
      <c r="F2" s="3" t="s">
        <v>1040</v>
      </c>
      <c r="G2" s="3" t="s">
        <v>1280</v>
      </c>
      <c r="H2" s="3"/>
      <c r="I2" s="3"/>
    </row>
    <row r="3" spans="1:9" x14ac:dyDescent="0.35">
      <c r="A3" s="28" t="s">
        <v>369</v>
      </c>
      <c r="B3" s="28">
        <v>14</v>
      </c>
      <c r="C3" s="3" t="s">
        <v>1103</v>
      </c>
      <c r="D3" s="3" t="s">
        <v>1040</v>
      </c>
      <c r="E3" s="3">
        <v>3</v>
      </c>
      <c r="F3" s="3" t="s">
        <v>1040</v>
      </c>
      <c r="G3" s="3"/>
      <c r="H3" s="3"/>
      <c r="I3" s="3"/>
    </row>
    <row r="4" spans="1:9" ht="15.75" customHeight="1" x14ac:dyDescent="0.35">
      <c r="A4" s="28" t="s">
        <v>542</v>
      </c>
      <c r="B4" s="28">
        <v>14</v>
      </c>
      <c r="C4" s="3" t="s">
        <v>1133</v>
      </c>
      <c r="D4" s="3" t="s">
        <v>1011</v>
      </c>
      <c r="E4" s="3">
        <v>3</v>
      </c>
      <c r="F4" s="3" t="s">
        <v>1042</v>
      </c>
      <c r="G4" s="3"/>
      <c r="H4" s="3"/>
      <c r="I4" s="3"/>
    </row>
    <row r="5" spans="1:9" x14ac:dyDescent="0.35">
      <c r="A5" s="28" t="s">
        <v>485</v>
      </c>
      <c r="B5" s="28">
        <v>14</v>
      </c>
      <c r="C5" s="3" t="s">
        <v>1040</v>
      </c>
      <c r="D5" s="3" t="s">
        <v>1012</v>
      </c>
      <c r="E5" s="3">
        <v>3</v>
      </c>
      <c r="F5" s="3" t="s">
        <v>1040</v>
      </c>
      <c r="G5" s="3"/>
      <c r="H5" s="3"/>
      <c r="I5" s="3"/>
    </row>
    <row r="6" spans="1:9" x14ac:dyDescent="0.35">
      <c r="A6" s="28" t="s">
        <v>490</v>
      </c>
      <c r="B6" s="28">
        <v>14</v>
      </c>
      <c r="C6" s="3" t="s">
        <v>1086</v>
      </c>
      <c r="D6" s="3" t="s">
        <v>1040</v>
      </c>
      <c r="E6" s="3">
        <v>3</v>
      </c>
      <c r="F6" s="3" t="s">
        <v>1040</v>
      </c>
      <c r="G6" s="3" t="s">
        <v>1262</v>
      </c>
      <c r="H6" s="3"/>
      <c r="I6" s="3"/>
    </row>
    <row r="7" spans="1:9" x14ac:dyDescent="0.35">
      <c r="A7" s="28" t="s">
        <v>519</v>
      </c>
      <c r="B7" s="28">
        <v>14</v>
      </c>
      <c r="C7" s="3" t="s">
        <v>1040</v>
      </c>
      <c r="D7" s="3" t="s">
        <v>1082</v>
      </c>
      <c r="E7" s="3">
        <v>3</v>
      </c>
      <c r="F7" s="3" t="s">
        <v>1040</v>
      </c>
      <c r="G7" s="3"/>
      <c r="H7" s="3"/>
      <c r="I7" s="3"/>
    </row>
    <row r="8" spans="1:9" x14ac:dyDescent="0.35">
      <c r="A8" s="28" t="s">
        <v>521</v>
      </c>
      <c r="B8" s="28">
        <v>14</v>
      </c>
      <c r="C8" s="3" t="s">
        <v>1110</v>
      </c>
      <c r="D8" s="3" t="s">
        <v>1040</v>
      </c>
      <c r="E8" s="3">
        <v>3</v>
      </c>
      <c r="F8" s="3" t="s">
        <v>1040</v>
      </c>
      <c r="G8" s="3"/>
      <c r="H8" s="3"/>
      <c r="I8" s="3"/>
    </row>
    <row r="9" spans="1:9" x14ac:dyDescent="0.35">
      <c r="A9" s="28" t="s">
        <v>645</v>
      </c>
      <c r="B9" s="28">
        <v>14</v>
      </c>
      <c r="C9" s="3" t="s">
        <v>1099</v>
      </c>
      <c r="D9" s="3" t="s">
        <v>1040</v>
      </c>
      <c r="E9" s="3">
        <v>3</v>
      </c>
      <c r="F9" s="3" t="s">
        <v>1040</v>
      </c>
      <c r="G9" s="3" t="s">
        <v>1253</v>
      </c>
      <c r="H9" s="3"/>
      <c r="I9" s="3"/>
    </row>
    <row r="10" spans="1:9" x14ac:dyDescent="0.35">
      <c r="A10" s="28" t="s">
        <v>562</v>
      </c>
      <c r="B10" s="28">
        <v>14</v>
      </c>
      <c r="C10" s="3" t="s">
        <v>1135</v>
      </c>
      <c r="D10" s="3" t="s">
        <v>998</v>
      </c>
      <c r="E10" s="3" t="s">
        <v>1040</v>
      </c>
      <c r="F10" s="3" t="s">
        <v>1040</v>
      </c>
      <c r="G10" s="3"/>
      <c r="H10" s="3"/>
      <c r="I10" s="3"/>
    </row>
    <row r="11" spans="1:9" x14ac:dyDescent="0.35">
      <c r="A11" s="28" t="s">
        <v>701</v>
      </c>
      <c r="B11" s="28">
        <v>14</v>
      </c>
      <c r="C11" s="3" t="s">
        <v>1134</v>
      </c>
      <c r="D11" s="3" t="s">
        <v>1040</v>
      </c>
      <c r="E11" s="3">
        <v>3</v>
      </c>
      <c r="F11" s="3" t="s">
        <v>1043</v>
      </c>
      <c r="G11" s="3"/>
      <c r="H11" s="3"/>
      <c r="I11" s="3"/>
    </row>
    <row r="12" spans="1:9" x14ac:dyDescent="0.35">
      <c r="A12" s="28" t="s">
        <v>711</v>
      </c>
      <c r="B12" s="28">
        <v>14</v>
      </c>
      <c r="C12" s="3" t="s">
        <v>1040</v>
      </c>
      <c r="D12" s="3" t="s">
        <v>1040</v>
      </c>
      <c r="E12" s="3">
        <v>3</v>
      </c>
      <c r="F12" s="3" t="s">
        <v>1040</v>
      </c>
      <c r="G12" s="3" t="s">
        <v>1239</v>
      </c>
      <c r="H12" s="3"/>
      <c r="I12" s="3"/>
    </row>
    <row r="13" spans="1:9" x14ac:dyDescent="0.35">
      <c r="A13" s="28" t="s">
        <v>489</v>
      </c>
      <c r="B13" s="28">
        <v>14</v>
      </c>
      <c r="C13" s="31" t="s">
        <v>1092</v>
      </c>
      <c r="D13" s="3" t="s">
        <v>1040</v>
      </c>
      <c r="E13" s="3" t="s">
        <v>1040</v>
      </c>
      <c r="F13" s="3" t="s">
        <v>1040</v>
      </c>
      <c r="G13" s="31" t="s">
        <v>1272</v>
      </c>
      <c r="H13" s="3"/>
      <c r="I13" s="3"/>
    </row>
    <row r="14" spans="1:9" x14ac:dyDescent="0.35">
      <c r="A14" s="28" t="s">
        <v>508</v>
      </c>
      <c r="B14" s="28">
        <v>14</v>
      </c>
      <c r="C14" s="3" t="s">
        <v>1094</v>
      </c>
      <c r="D14" s="3" t="s">
        <v>1040</v>
      </c>
      <c r="E14" s="3">
        <v>3</v>
      </c>
      <c r="F14" s="3" t="s">
        <v>1040</v>
      </c>
      <c r="G14" s="3" t="s">
        <v>1271</v>
      </c>
      <c r="H14" s="3"/>
      <c r="I14" s="3"/>
    </row>
    <row r="15" spans="1:9" x14ac:dyDescent="0.35">
      <c r="A15" s="27" t="s">
        <v>723</v>
      </c>
      <c r="B15" s="27">
        <v>14</v>
      </c>
      <c r="C15" s="3" t="s">
        <v>1157</v>
      </c>
      <c r="D15" s="3" t="s">
        <v>1014</v>
      </c>
      <c r="E15" s="3">
        <v>2</v>
      </c>
      <c r="F15" s="3" t="s">
        <v>1040</v>
      </c>
      <c r="G15" s="3" t="s">
        <v>1268</v>
      </c>
      <c r="H15" s="3"/>
      <c r="I15" s="3"/>
    </row>
    <row r="16" spans="1:9" x14ac:dyDescent="0.35">
      <c r="A16" s="28" t="s">
        <v>757</v>
      </c>
      <c r="B16" s="28">
        <v>14</v>
      </c>
      <c r="C16" s="3" t="s">
        <v>1107</v>
      </c>
      <c r="D16" s="3" t="s">
        <v>1266</v>
      </c>
      <c r="E16" s="3">
        <v>3</v>
      </c>
      <c r="F16" s="3" t="s">
        <v>1040</v>
      </c>
      <c r="G16" s="3"/>
      <c r="H16" s="3"/>
      <c r="I16" s="3"/>
    </row>
    <row r="17" spans="1:9" x14ac:dyDescent="0.35">
      <c r="A17" s="28" t="s">
        <v>774</v>
      </c>
      <c r="B17" s="28">
        <v>14</v>
      </c>
      <c r="C17" s="3" t="s">
        <v>1087</v>
      </c>
      <c r="D17" s="3" t="s">
        <v>1040</v>
      </c>
      <c r="E17" s="3">
        <v>3</v>
      </c>
      <c r="F17" s="3" t="s">
        <v>1040</v>
      </c>
      <c r="G17" s="3"/>
      <c r="H17" s="3"/>
      <c r="I17" s="3"/>
    </row>
    <row r="18" spans="1:9" x14ac:dyDescent="0.35">
      <c r="A18" s="28" t="s">
        <v>797</v>
      </c>
      <c r="B18" s="28">
        <v>14</v>
      </c>
      <c r="C18" s="3" t="s">
        <v>1040</v>
      </c>
      <c r="D18" s="3" t="s">
        <v>1015</v>
      </c>
      <c r="E18" s="3" t="s">
        <v>1040</v>
      </c>
      <c r="F18" s="3" t="s">
        <v>1040</v>
      </c>
      <c r="G18" s="3"/>
      <c r="H18" s="3"/>
      <c r="I18" s="3"/>
    </row>
    <row r="19" spans="1:9" x14ac:dyDescent="0.35">
      <c r="A19" s="28" t="s">
        <v>799</v>
      </c>
      <c r="B19" s="28">
        <v>14</v>
      </c>
      <c r="C19" s="23">
        <v>46128</v>
      </c>
      <c r="D19" s="3" t="s">
        <v>1040</v>
      </c>
      <c r="E19" s="3">
        <v>3</v>
      </c>
      <c r="F19" s="3" t="s">
        <v>1040</v>
      </c>
      <c r="G19" s="23"/>
      <c r="H19" s="3"/>
      <c r="I19" s="3"/>
    </row>
    <row r="20" spans="1:9" x14ac:dyDescent="0.35">
      <c r="A20" s="27" t="s">
        <v>813</v>
      </c>
      <c r="B20" s="27">
        <v>14</v>
      </c>
      <c r="C20" s="3" t="s">
        <v>1040</v>
      </c>
      <c r="D20" s="3" t="s">
        <v>1040</v>
      </c>
      <c r="E20" s="3">
        <v>3</v>
      </c>
      <c r="F20" s="3" t="s">
        <v>1040</v>
      </c>
      <c r="G20" s="3"/>
      <c r="H20" s="3"/>
      <c r="I20" s="3"/>
    </row>
    <row r="21" spans="1:9" x14ac:dyDescent="0.35">
      <c r="A21" s="28" t="s">
        <v>815</v>
      </c>
      <c r="B21" s="28">
        <v>14</v>
      </c>
      <c r="C21" s="3" t="s">
        <v>1040</v>
      </c>
      <c r="D21" s="3" t="s">
        <v>1040</v>
      </c>
      <c r="E21" s="3" t="s">
        <v>1040</v>
      </c>
      <c r="F21" s="3" t="s">
        <v>1040</v>
      </c>
      <c r="G21" s="3"/>
      <c r="H21" s="3"/>
      <c r="I21" s="3"/>
    </row>
    <row r="22" spans="1:9" x14ac:dyDescent="0.35">
      <c r="A22" s="28" t="s">
        <v>857</v>
      </c>
      <c r="B22" s="28">
        <v>14</v>
      </c>
      <c r="C22" s="3" t="s">
        <v>1093</v>
      </c>
      <c r="D22" s="3" t="s">
        <v>1234</v>
      </c>
      <c r="E22" s="3" t="s">
        <v>1040</v>
      </c>
      <c r="F22" s="3" t="s">
        <v>1040</v>
      </c>
      <c r="G22" s="3" t="s">
        <v>1231</v>
      </c>
      <c r="H22" s="3"/>
      <c r="I22" s="3"/>
    </row>
    <row r="23" spans="1:9" x14ac:dyDescent="0.35">
      <c r="A23" s="3" t="s">
        <v>859</v>
      </c>
      <c r="B23" s="3">
        <v>14</v>
      </c>
      <c r="C23" s="3" t="s">
        <v>1171</v>
      </c>
      <c r="D23" s="3" t="s">
        <v>1016</v>
      </c>
      <c r="E23" s="3">
        <v>3</v>
      </c>
      <c r="F23" s="3" t="s">
        <v>1040</v>
      </c>
      <c r="G23" s="3" t="s">
        <v>1273</v>
      </c>
      <c r="H23" s="3"/>
      <c r="I23" s="3"/>
    </row>
    <row r="24" spans="1:9" x14ac:dyDescent="0.35">
      <c r="A24" s="49" t="s">
        <v>905</v>
      </c>
      <c r="B24" s="49">
        <v>14</v>
      </c>
      <c r="C24" s="49" t="s">
        <v>1104</v>
      </c>
      <c r="D24" s="49" t="s">
        <v>1040</v>
      </c>
      <c r="E24" s="49">
        <v>3</v>
      </c>
      <c r="F24" s="49" t="s">
        <v>1040</v>
      </c>
      <c r="G24" s="49"/>
      <c r="H24" s="49"/>
      <c r="I24" s="3"/>
    </row>
    <row r="25" spans="1:9" x14ac:dyDescent="0.3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5">
      <c r="A27" s="27"/>
      <c r="B27" s="27"/>
      <c r="C27" s="23"/>
      <c r="D27" s="3"/>
      <c r="E27" s="3"/>
      <c r="F27" s="3"/>
      <c r="G27" s="3"/>
      <c r="H27" s="3"/>
      <c r="I27" s="3"/>
    </row>
    <row r="28" spans="1:9" x14ac:dyDescent="0.35">
      <c r="A28" s="4"/>
      <c r="B28" s="4"/>
      <c r="C28" s="26"/>
      <c r="D28" s="3"/>
      <c r="F28" s="3"/>
      <c r="G28" s="3"/>
      <c r="H28" s="3"/>
    </row>
    <row r="29" spans="1:9" x14ac:dyDescent="0.35">
      <c r="A29" s="4"/>
      <c r="B29" s="4"/>
      <c r="C29" s="26"/>
      <c r="D29" s="3"/>
      <c r="F29" s="3"/>
      <c r="G29" s="3"/>
      <c r="H29" s="3"/>
    </row>
    <row r="30" spans="1:9" x14ac:dyDescent="0.35">
      <c r="A30" s="4"/>
      <c r="B30" s="4"/>
      <c r="C30" s="26"/>
      <c r="D30" s="3"/>
      <c r="F30" s="3"/>
      <c r="G30" s="3"/>
      <c r="H30" s="3"/>
    </row>
  </sheetData>
  <conditionalFormatting sqref="C11">
    <cfRule type="expression" dxfId="9" priority="1">
      <formula>$H10 = 1</formula>
    </cfRule>
  </conditionalFormatting>
  <conditionalFormatting sqref="D2:H7 C2:C10 A2:B22 D8:F11 H8:H11 G9:G10 C12:H22 A27:H30">
    <cfRule type="expression" dxfId="8" priority="2">
      <formula>$H2 = 1</formula>
    </cfRule>
  </conditionalFormatting>
  <conditionalFormatting sqref="G8">
    <cfRule type="expression" dxfId="7" priority="15">
      <formula>$H9 = 1</formula>
    </cfRule>
  </conditionalFormatting>
  <conditionalFormatting sqref="G11">
    <cfRule type="expression" dxfId="6" priority="6">
      <formula>$H10 = 1</formula>
    </cfRule>
  </conditionalFormatting>
  <hyperlinks>
    <hyperlink ref="C13" r:id="rId1" xr:uid="{441DD6AD-89B5-4DDF-A153-27A41AF5850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4E3B-B710-4828-B9FC-A364DE50FE0D}">
  <dimension ref="A1:H27"/>
  <sheetViews>
    <sheetView zoomScaleNormal="100" workbookViewId="0">
      <selection activeCell="L14" sqref="L14"/>
    </sheetView>
  </sheetViews>
  <sheetFormatPr defaultRowHeight="14.5" x14ac:dyDescent="0.35"/>
  <cols>
    <col min="1" max="1" width="38.54296875" bestFit="1" customWidth="1"/>
    <col min="2" max="2" width="7.7265625" bestFit="1" customWidth="1"/>
    <col min="3" max="3" width="12.26953125" bestFit="1" customWidth="1"/>
    <col min="4" max="4" width="34" bestFit="1" customWidth="1"/>
    <col min="5" max="5" width="22" bestFit="1" customWidth="1"/>
    <col min="6" max="6" width="17.26953125" bestFit="1" customWidth="1"/>
    <col min="7" max="7" width="24.81640625" customWidth="1"/>
    <col min="8" max="8" width="6.81640625" bestFit="1" customWidth="1"/>
  </cols>
  <sheetData>
    <row r="1" spans="1:8" ht="16" thickBot="1" x14ac:dyDescent="0.4">
      <c r="A1" s="7" t="s">
        <v>363</v>
      </c>
      <c r="B1" s="8" t="s">
        <v>955</v>
      </c>
      <c r="C1" s="9" t="s">
        <v>956</v>
      </c>
      <c r="D1" s="7" t="s">
        <v>957</v>
      </c>
      <c r="E1" s="7" t="s">
        <v>958</v>
      </c>
      <c r="F1" s="7" t="s">
        <v>1041</v>
      </c>
      <c r="G1" s="22" t="s">
        <v>1045</v>
      </c>
      <c r="H1" s="21" t="s">
        <v>1046</v>
      </c>
    </row>
    <row r="2" spans="1:8" x14ac:dyDescent="0.35">
      <c r="A2" s="27" t="s">
        <v>652</v>
      </c>
      <c r="B2" s="27">
        <v>15</v>
      </c>
      <c r="C2" s="3" t="s">
        <v>1148</v>
      </c>
      <c r="D2" s="3" t="s">
        <v>1040</v>
      </c>
      <c r="E2" s="3" t="s">
        <v>1040</v>
      </c>
      <c r="F2" s="3" t="s">
        <v>1040</v>
      </c>
      <c r="G2" s="3"/>
      <c r="H2" s="3"/>
    </row>
    <row r="3" spans="1:8" x14ac:dyDescent="0.35">
      <c r="A3" s="28" t="s">
        <v>431</v>
      </c>
      <c r="B3" s="28">
        <v>15</v>
      </c>
      <c r="C3" s="23">
        <v>46107</v>
      </c>
      <c r="D3" s="3" t="s">
        <v>1017</v>
      </c>
      <c r="E3" s="3">
        <v>3</v>
      </c>
      <c r="F3" s="3" t="s">
        <v>1040</v>
      </c>
      <c r="G3" s="23"/>
      <c r="H3" s="3"/>
    </row>
    <row r="4" spans="1:8" x14ac:dyDescent="0.35">
      <c r="A4" s="28" t="s">
        <v>433</v>
      </c>
      <c r="B4" s="28">
        <v>15</v>
      </c>
      <c r="C4" s="3" t="s">
        <v>1129</v>
      </c>
      <c r="D4" s="3" t="s">
        <v>990</v>
      </c>
      <c r="E4" s="3">
        <v>3</v>
      </c>
      <c r="F4" s="3" t="s">
        <v>1040</v>
      </c>
      <c r="G4" s="3"/>
      <c r="H4" s="3"/>
    </row>
    <row r="5" spans="1:8" x14ac:dyDescent="0.35">
      <c r="A5" s="28" t="s">
        <v>446</v>
      </c>
      <c r="B5" s="28">
        <v>15</v>
      </c>
      <c r="C5" s="3" t="s">
        <v>1131</v>
      </c>
      <c r="D5" s="3" t="s">
        <v>1255</v>
      </c>
      <c r="E5" s="3">
        <v>6</v>
      </c>
      <c r="F5" s="3" t="s">
        <v>1040</v>
      </c>
      <c r="G5" s="3" t="s">
        <v>1256</v>
      </c>
      <c r="H5" s="3"/>
    </row>
    <row r="6" spans="1:8" x14ac:dyDescent="0.35">
      <c r="A6" s="28" t="s">
        <v>502</v>
      </c>
      <c r="B6" s="28">
        <v>15</v>
      </c>
      <c r="C6" s="3" t="s">
        <v>1130</v>
      </c>
      <c r="D6" s="3" t="s">
        <v>1040</v>
      </c>
      <c r="E6" s="3">
        <v>3</v>
      </c>
      <c r="F6" s="3"/>
      <c r="G6" s="3"/>
      <c r="H6" s="3"/>
    </row>
    <row r="7" spans="1:8" x14ac:dyDescent="0.35">
      <c r="A7" s="28" t="s">
        <v>504</v>
      </c>
      <c r="B7" s="28">
        <v>15</v>
      </c>
      <c r="C7" s="3" t="s">
        <v>1090</v>
      </c>
      <c r="D7" s="3"/>
      <c r="E7" s="3">
        <v>3</v>
      </c>
      <c r="F7" s="3" t="s">
        <v>1040</v>
      </c>
      <c r="G7" s="3"/>
      <c r="H7" s="3"/>
    </row>
    <row r="8" spans="1:8" x14ac:dyDescent="0.35">
      <c r="A8" s="28" t="s">
        <v>570</v>
      </c>
      <c r="B8" s="28">
        <v>15</v>
      </c>
      <c r="C8" s="3" t="s">
        <v>1178</v>
      </c>
      <c r="D8" s="3"/>
      <c r="E8" s="3">
        <v>3</v>
      </c>
      <c r="F8" s="3" t="s">
        <v>1040</v>
      </c>
      <c r="G8" s="3" t="s">
        <v>1242</v>
      </c>
      <c r="H8" s="3"/>
    </row>
    <row r="9" spans="1:8" x14ac:dyDescent="0.35">
      <c r="A9" s="28" t="s">
        <v>576</v>
      </c>
      <c r="B9" s="28">
        <v>15</v>
      </c>
      <c r="C9" s="3" t="s">
        <v>1153</v>
      </c>
      <c r="D9" s="3" t="s">
        <v>1040</v>
      </c>
      <c r="E9" s="3">
        <v>3</v>
      </c>
      <c r="F9" s="3" t="s">
        <v>1040</v>
      </c>
      <c r="G9" s="3"/>
      <c r="H9" s="3"/>
    </row>
    <row r="10" spans="1:8" x14ac:dyDescent="0.35">
      <c r="A10" s="28" t="s">
        <v>578</v>
      </c>
      <c r="B10" s="28">
        <v>15</v>
      </c>
      <c r="C10" s="3" t="s">
        <v>1132</v>
      </c>
      <c r="D10" s="3" t="s">
        <v>1040</v>
      </c>
      <c r="E10" s="3" t="s">
        <v>1040</v>
      </c>
      <c r="F10" s="3" t="s">
        <v>1040</v>
      </c>
      <c r="G10" s="3" t="s">
        <v>1260</v>
      </c>
      <c r="H10" s="3"/>
    </row>
    <row r="11" spans="1:8" x14ac:dyDescent="0.35">
      <c r="A11" s="28" t="s">
        <v>811</v>
      </c>
      <c r="B11" s="28">
        <v>15</v>
      </c>
      <c r="C11" s="3" t="s">
        <v>1183</v>
      </c>
      <c r="D11" s="3"/>
      <c r="E11" s="3">
        <v>3</v>
      </c>
      <c r="F11" s="3" t="s">
        <v>1040</v>
      </c>
      <c r="G11" s="3"/>
      <c r="H11" s="3"/>
    </row>
    <row r="12" spans="1:8" x14ac:dyDescent="0.35">
      <c r="A12" s="28" t="s">
        <v>649</v>
      </c>
      <c r="B12" s="28">
        <v>15</v>
      </c>
      <c r="C12" s="3" t="s">
        <v>1125</v>
      </c>
      <c r="D12" s="3" t="s">
        <v>1040</v>
      </c>
      <c r="E12" s="3">
        <v>3</v>
      </c>
      <c r="F12" s="3" t="s">
        <v>1040</v>
      </c>
      <c r="G12" s="3"/>
      <c r="H12" s="3"/>
    </row>
    <row r="13" spans="1:8" x14ac:dyDescent="0.35">
      <c r="A13" s="28" t="s">
        <v>658</v>
      </c>
      <c r="B13" s="28">
        <v>15</v>
      </c>
      <c r="C13" s="3" t="s">
        <v>1122</v>
      </c>
      <c r="D13" s="3" t="s">
        <v>990</v>
      </c>
      <c r="E13" s="3">
        <v>3</v>
      </c>
      <c r="F13" s="3" t="s">
        <v>1040</v>
      </c>
      <c r="G13" s="3"/>
      <c r="H13" s="3"/>
    </row>
    <row r="14" spans="1:8" x14ac:dyDescent="0.35">
      <c r="A14" s="28" t="s">
        <v>674</v>
      </c>
      <c r="B14" s="28">
        <v>15</v>
      </c>
      <c r="C14" s="3" t="s">
        <v>1127</v>
      </c>
      <c r="D14" s="3" t="s">
        <v>1040</v>
      </c>
      <c r="E14" s="3" t="s">
        <v>1040</v>
      </c>
      <c r="F14" s="3" t="s">
        <v>1040</v>
      </c>
      <c r="G14" s="3"/>
      <c r="H14" s="3"/>
    </row>
    <row r="15" spans="1:8" x14ac:dyDescent="0.35">
      <c r="A15" s="27" t="s">
        <v>731</v>
      </c>
      <c r="B15" s="27">
        <v>15</v>
      </c>
      <c r="C15" s="3" t="s">
        <v>1180</v>
      </c>
      <c r="D15" s="3" t="s">
        <v>990</v>
      </c>
      <c r="E15" s="3">
        <v>3</v>
      </c>
      <c r="F15" s="3" t="s">
        <v>1040</v>
      </c>
      <c r="G15" s="3"/>
      <c r="H15" s="3"/>
    </row>
    <row r="16" spans="1:8" x14ac:dyDescent="0.35">
      <c r="A16" s="28" t="s">
        <v>747</v>
      </c>
      <c r="B16" s="28">
        <v>15</v>
      </c>
      <c r="C16" s="3" t="s">
        <v>1123</v>
      </c>
      <c r="D16" s="3" t="s">
        <v>1040</v>
      </c>
      <c r="E16" s="3">
        <v>5</v>
      </c>
      <c r="F16" s="3" t="s">
        <v>1040</v>
      </c>
      <c r="G16" s="3"/>
      <c r="H16" s="3"/>
    </row>
    <row r="17" spans="1:8" x14ac:dyDescent="0.35">
      <c r="A17" s="28" t="s">
        <v>759</v>
      </c>
      <c r="B17" s="28">
        <v>15</v>
      </c>
      <c r="C17" s="3" t="s">
        <v>1121</v>
      </c>
      <c r="D17" s="3" t="s">
        <v>1040</v>
      </c>
      <c r="E17" s="3">
        <v>3</v>
      </c>
      <c r="F17" s="3" t="s">
        <v>1040</v>
      </c>
      <c r="G17" s="3" t="s">
        <v>1274</v>
      </c>
      <c r="H17" s="3"/>
    </row>
    <row r="18" spans="1:8" x14ac:dyDescent="0.35">
      <c r="A18" s="28" t="s">
        <v>779</v>
      </c>
      <c r="B18" s="28">
        <v>15</v>
      </c>
      <c r="C18" s="3"/>
      <c r="D18" s="3" t="s">
        <v>1124</v>
      </c>
      <c r="E18" s="3">
        <v>3</v>
      </c>
      <c r="F18" s="3" t="s">
        <v>1040</v>
      </c>
      <c r="G18" s="3"/>
      <c r="H18" s="3"/>
    </row>
    <row r="19" spans="1:8" x14ac:dyDescent="0.35">
      <c r="A19" s="28" t="s">
        <v>894</v>
      </c>
      <c r="B19" s="28">
        <v>15</v>
      </c>
      <c r="C19" s="3" t="s">
        <v>1141</v>
      </c>
      <c r="D19" s="3" t="s">
        <v>1040</v>
      </c>
      <c r="E19" s="3">
        <v>3</v>
      </c>
      <c r="F19" s="3" t="s">
        <v>1040</v>
      </c>
      <c r="G19" s="3"/>
      <c r="H19" s="3"/>
    </row>
    <row r="20" spans="1:8" x14ac:dyDescent="0.35">
      <c r="A20" s="27" t="s">
        <v>529</v>
      </c>
      <c r="B20" s="27">
        <v>15</v>
      </c>
      <c r="D20" s="3"/>
      <c r="E20" s="3">
        <v>6</v>
      </c>
      <c r="F20" s="3" t="s">
        <v>1040</v>
      </c>
      <c r="H20" s="3"/>
    </row>
    <row r="21" spans="1:8" x14ac:dyDescent="0.35">
      <c r="A21" s="28" t="s">
        <v>910</v>
      </c>
      <c r="B21" s="28">
        <v>15</v>
      </c>
      <c r="C21" s="23">
        <v>46063</v>
      </c>
      <c r="D21" s="3"/>
      <c r="E21" s="3">
        <v>6</v>
      </c>
      <c r="F21" s="3" t="s">
        <v>1040</v>
      </c>
      <c r="G21" s="23" t="s">
        <v>1265</v>
      </c>
      <c r="H21" s="3"/>
    </row>
    <row r="22" spans="1:8" x14ac:dyDescent="0.35">
      <c r="A22" s="28" t="s">
        <v>911</v>
      </c>
      <c r="B22" s="28">
        <v>15</v>
      </c>
      <c r="C22" s="3" t="s">
        <v>1158</v>
      </c>
      <c r="D22" s="3"/>
      <c r="E22" s="3">
        <v>3</v>
      </c>
      <c r="F22" s="3" t="s">
        <v>1040</v>
      </c>
      <c r="G22" s="3" t="s">
        <v>1269</v>
      </c>
      <c r="H22" s="3"/>
    </row>
    <row r="23" spans="1:8" x14ac:dyDescent="0.35">
      <c r="A23" s="3"/>
      <c r="B23" s="3"/>
      <c r="C23" s="3"/>
      <c r="D23" s="3"/>
      <c r="E23" s="3"/>
      <c r="F23" s="3"/>
      <c r="G23" s="3"/>
      <c r="H23" s="3"/>
    </row>
    <row r="24" spans="1:8" x14ac:dyDescent="0.35">
      <c r="A24" s="3"/>
      <c r="B24" s="3"/>
      <c r="C24" s="3"/>
      <c r="D24" s="3"/>
      <c r="E24" s="3"/>
      <c r="F24" s="3"/>
      <c r="G24" s="3"/>
      <c r="H24" s="3"/>
    </row>
    <row r="25" spans="1:8" x14ac:dyDescent="0.35">
      <c r="E25" s="3"/>
      <c r="F25" s="3"/>
    </row>
    <row r="27" spans="1:8" x14ac:dyDescent="0.35">
      <c r="A27" s="15"/>
      <c r="B27" s="15"/>
      <c r="C27" s="26"/>
      <c r="D27" s="3"/>
      <c r="F27" s="3"/>
      <c r="G27" s="3"/>
      <c r="H27" s="3"/>
    </row>
  </sheetData>
  <conditionalFormatting sqref="C4">
    <cfRule type="expression" dxfId="5" priority="1">
      <formula>$H19 = 1</formula>
    </cfRule>
  </conditionalFormatting>
  <conditionalFormatting sqref="C19">
    <cfRule type="expression" dxfId="4" priority="2">
      <formula>$H20 = 1</formula>
    </cfRule>
  </conditionalFormatting>
  <conditionalFormatting sqref="C2:H3 A2:B22 D4:F4 H4 C5:H18 D19:F20 H19:H20 C21:H22 A27:H27">
    <cfRule type="expression" dxfId="3" priority="3">
      <formula>$H2 = 1</formula>
    </cfRule>
  </conditionalFormatting>
  <conditionalFormatting sqref="G4">
    <cfRule type="expression" dxfId="2" priority="9">
      <formula>$H19 = 1</formula>
    </cfRule>
  </conditionalFormatting>
  <conditionalFormatting sqref="G19">
    <cfRule type="expression" dxfId="1" priority="11">
      <formula>$H20 = 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04AA-CDBF-45A4-9683-889CE0EB7261}">
  <dimension ref="A1:H30"/>
  <sheetViews>
    <sheetView zoomScaleNormal="100" workbookViewId="0">
      <selection activeCell="G11" sqref="G11"/>
    </sheetView>
  </sheetViews>
  <sheetFormatPr defaultRowHeight="14.5" x14ac:dyDescent="0.35"/>
  <cols>
    <col min="1" max="1" width="30.26953125" bestFit="1" customWidth="1"/>
    <col min="2" max="2" width="7.7265625" bestFit="1" customWidth="1"/>
    <col min="3" max="3" width="23.81640625" bestFit="1" customWidth="1"/>
    <col min="4" max="4" width="36.26953125" bestFit="1" customWidth="1"/>
    <col min="5" max="5" width="22" bestFit="1" customWidth="1"/>
    <col min="6" max="7" width="17.26953125" bestFit="1" customWidth="1"/>
    <col min="8" max="8" width="6.81640625" bestFit="1" customWidth="1"/>
  </cols>
  <sheetData>
    <row r="1" spans="1:8" ht="16" thickBot="1" x14ac:dyDescent="0.4">
      <c r="A1" s="7" t="s">
        <v>363</v>
      </c>
      <c r="B1" s="8" t="s">
        <v>955</v>
      </c>
      <c r="C1" s="9" t="s">
        <v>956</v>
      </c>
      <c r="D1" s="7" t="s">
        <v>957</v>
      </c>
      <c r="E1" s="7" t="s">
        <v>958</v>
      </c>
      <c r="F1" s="7" t="s">
        <v>1041</v>
      </c>
      <c r="G1" s="22" t="s">
        <v>1045</v>
      </c>
      <c r="H1" s="21" t="s">
        <v>1046</v>
      </c>
    </row>
    <row r="2" spans="1:8" x14ac:dyDescent="0.35">
      <c r="A2" s="27" t="s">
        <v>397</v>
      </c>
      <c r="B2" s="27">
        <v>16</v>
      </c>
      <c r="C2" s="23">
        <v>46114</v>
      </c>
      <c r="D2" s="3" t="s">
        <v>1040</v>
      </c>
      <c r="E2" s="3">
        <v>3</v>
      </c>
      <c r="F2" s="3" t="s">
        <v>1040</v>
      </c>
      <c r="G2" s="23"/>
      <c r="H2" s="3"/>
    </row>
    <row r="3" spans="1:8" x14ac:dyDescent="0.35">
      <c r="A3" s="28" t="s">
        <v>439</v>
      </c>
      <c r="B3" s="28">
        <v>16</v>
      </c>
      <c r="C3" s="3" t="s">
        <v>1168</v>
      </c>
      <c r="D3" s="3" t="s">
        <v>990</v>
      </c>
      <c r="E3" s="3">
        <v>3</v>
      </c>
      <c r="F3" s="3" t="s">
        <v>1040</v>
      </c>
      <c r="G3" s="3"/>
      <c r="H3" s="3"/>
    </row>
    <row r="4" spans="1:8" x14ac:dyDescent="0.35">
      <c r="A4" s="28" t="s">
        <v>477</v>
      </c>
      <c r="B4" s="28">
        <v>16</v>
      </c>
      <c r="C4" s="23">
        <v>46114</v>
      </c>
      <c r="D4" s="3" t="s">
        <v>1052</v>
      </c>
      <c r="E4" s="3">
        <v>3</v>
      </c>
      <c r="F4" s="3" t="s">
        <v>1040</v>
      </c>
      <c r="G4" s="23"/>
      <c r="H4" s="3"/>
    </row>
    <row r="5" spans="1:8" x14ac:dyDescent="0.35">
      <c r="A5" s="28" t="s">
        <v>452</v>
      </c>
      <c r="B5" s="28">
        <v>16</v>
      </c>
      <c r="C5" s="3" t="s">
        <v>1152</v>
      </c>
      <c r="D5" s="3" t="s">
        <v>1053</v>
      </c>
      <c r="E5" s="3">
        <v>3</v>
      </c>
      <c r="F5" s="3" t="s">
        <v>1040</v>
      </c>
      <c r="G5" s="3"/>
      <c r="H5" s="3"/>
    </row>
    <row r="6" spans="1:8" x14ac:dyDescent="0.35">
      <c r="A6" s="28" t="s">
        <v>469</v>
      </c>
      <c r="B6" s="28">
        <v>16</v>
      </c>
      <c r="C6" s="3" t="s">
        <v>1170</v>
      </c>
      <c r="D6" s="3" t="s">
        <v>1040</v>
      </c>
      <c r="E6" s="3">
        <v>3</v>
      </c>
      <c r="F6" s="3" t="s">
        <v>1040</v>
      </c>
      <c r="G6" s="3"/>
      <c r="H6" s="3"/>
    </row>
    <row r="7" spans="1:8" x14ac:dyDescent="0.35">
      <c r="A7" s="28" t="s">
        <v>523</v>
      </c>
      <c r="B7" s="28">
        <v>16</v>
      </c>
      <c r="C7" s="3" t="s">
        <v>1040</v>
      </c>
      <c r="D7" s="3" t="s">
        <v>990</v>
      </c>
      <c r="E7" s="3">
        <v>3</v>
      </c>
      <c r="F7" s="3" t="s">
        <v>1042</v>
      </c>
      <c r="G7" s="3"/>
      <c r="H7" s="3"/>
    </row>
    <row r="8" spans="1:8" x14ac:dyDescent="0.35">
      <c r="A8" s="28" t="s">
        <v>399</v>
      </c>
      <c r="B8" s="28">
        <v>16</v>
      </c>
      <c r="C8" s="3" t="s">
        <v>1040</v>
      </c>
      <c r="D8" s="3" t="s">
        <v>1040</v>
      </c>
      <c r="E8" s="3">
        <v>3</v>
      </c>
      <c r="F8" s="3" t="s">
        <v>1040</v>
      </c>
      <c r="G8" s="3"/>
      <c r="H8" s="3"/>
    </row>
    <row r="9" spans="1:8" x14ac:dyDescent="0.35">
      <c r="A9" s="28" t="s">
        <v>605</v>
      </c>
      <c r="B9" s="28">
        <v>16</v>
      </c>
      <c r="C9" s="3" t="s">
        <v>1040</v>
      </c>
      <c r="D9" s="3" t="s">
        <v>1040</v>
      </c>
      <c r="E9" s="3">
        <v>1</v>
      </c>
      <c r="F9" s="3" t="s">
        <v>1040</v>
      </c>
      <c r="G9" s="3"/>
      <c r="H9" s="3"/>
    </row>
    <row r="10" spans="1:8" x14ac:dyDescent="0.35">
      <c r="A10" s="28" t="s">
        <v>727</v>
      </c>
      <c r="B10" s="28">
        <v>16</v>
      </c>
      <c r="C10" s="3" t="s">
        <v>1155</v>
      </c>
      <c r="D10" s="3" t="s">
        <v>1040</v>
      </c>
      <c r="E10" s="3">
        <v>1</v>
      </c>
      <c r="F10" s="3" t="s">
        <v>1040</v>
      </c>
      <c r="G10" s="3" t="s">
        <v>1252</v>
      </c>
      <c r="H10" s="3"/>
    </row>
    <row r="11" spans="1:8" x14ac:dyDescent="0.35">
      <c r="A11" s="28" t="s">
        <v>734</v>
      </c>
      <c r="B11" s="28">
        <v>16</v>
      </c>
      <c r="C11" s="3" t="s">
        <v>1156</v>
      </c>
      <c r="D11" s="3" t="s">
        <v>1040</v>
      </c>
      <c r="E11" s="3">
        <v>3</v>
      </c>
      <c r="F11" s="3" t="s">
        <v>1040</v>
      </c>
      <c r="G11" s="3"/>
      <c r="H11" s="3"/>
    </row>
    <row r="12" spans="1:8" x14ac:dyDescent="0.35">
      <c r="A12" s="28" t="s">
        <v>828</v>
      </c>
      <c r="B12" s="28">
        <v>16</v>
      </c>
      <c r="C12" s="3" t="s">
        <v>1040</v>
      </c>
      <c r="D12" s="3" t="s">
        <v>1057</v>
      </c>
      <c r="E12" s="3" t="s">
        <v>1040</v>
      </c>
      <c r="F12" s="3" t="s">
        <v>1040</v>
      </c>
      <c r="G12" s="3"/>
      <c r="H12" s="3"/>
    </row>
    <row r="13" spans="1:8" x14ac:dyDescent="0.35">
      <c r="A13" s="28" t="s">
        <v>423</v>
      </c>
      <c r="B13" s="28">
        <v>16</v>
      </c>
      <c r="C13" s="3" t="s">
        <v>1040</v>
      </c>
      <c r="D13" s="3" t="s">
        <v>990</v>
      </c>
      <c r="E13" s="3">
        <v>3</v>
      </c>
      <c r="F13" s="3" t="s">
        <v>1040</v>
      </c>
      <c r="G13" s="3"/>
      <c r="H13" s="3"/>
    </row>
    <row r="14" spans="1:8" x14ac:dyDescent="0.35">
      <c r="A14" s="28" t="s">
        <v>764</v>
      </c>
      <c r="B14" s="28">
        <v>16</v>
      </c>
      <c r="C14" s="3" t="s">
        <v>1040</v>
      </c>
      <c r="D14" s="3" t="s">
        <v>1057</v>
      </c>
      <c r="E14" s="3">
        <v>3</v>
      </c>
      <c r="F14" s="3" t="s">
        <v>1040</v>
      </c>
      <c r="G14" s="3"/>
      <c r="H14" s="3"/>
    </row>
    <row r="15" spans="1:8" x14ac:dyDescent="0.35">
      <c r="A15" s="27" t="s">
        <v>717</v>
      </c>
      <c r="B15" s="27">
        <v>16</v>
      </c>
      <c r="C15" s="3" t="s">
        <v>1161</v>
      </c>
      <c r="D15" s="3" t="s">
        <v>1040</v>
      </c>
      <c r="E15" s="3">
        <v>3</v>
      </c>
      <c r="F15" s="3" t="s">
        <v>1040</v>
      </c>
      <c r="G15" s="3"/>
      <c r="H15" s="3"/>
    </row>
    <row r="16" spans="1:8" x14ac:dyDescent="0.35">
      <c r="A16" s="28" t="s">
        <v>794</v>
      </c>
      <c r="B16" s="28">
        <v>16</v>
      </c>
      <c r="C16" s="3" t="s">
        <v>1160</v>
      </c>
      <c r="D16" s="3" t="s">
        <v>1040</v>
      </c>
      <c r="E16" s="3">
        <v>3</v>
      </c>
      <c r="F16" s="3" t="s">
        <v>1040</v>
      </c>
      <c r="G16" s="3"/>
      <c r="H16" s="3"/>
    </row>
    <row r="17" spans="1:8" x14ac:dyDescent="0.35">
      <c r="A17" s="28" t="s">
        <v>488</v>
      </c>
      <c r="B17" s="28">
        <v>16</v>
      </c>
      <c r="C17" s="3" t="s">
        <v>1040</v>
      </c>
      <c r="D17" s="3" t="s">
        <v>1040</v>
      </c>
      <c r="E17" s="3">
        <v>3</v>
      </c>
      <c r="F17" s="3" t="s">
        <v>1040</v>
      </c>
      <c r="G17" s="3"/>
      <c r="H17" s="3"/>
    </row>
    <row r="18" spans="1:8" x14ac:dyDescent="0.35">
      <c r="A18" s="28" t="s">
        <v>862</v>
      </c>
      <c r="B18" s="28">
        <v>16</v>
      </c>
      <c r="C18" s="3" t="s">
        <v>1154</v>
      </c>
      <c r="D18" s="3" t="s">
        <v>1040</v>
      </c>
      <c r="E18" s="3">
        <v>3</v>
      </c>
      <c r="F18" s="3" t="s">
        <v>1040</v>
      </c>
      <c r="G18" s="3" t="s">
        <v>1250</v>
      </c>
      <c r="H18" s="3"/>
    </row>
    <row r="19" spans="1:8" x14ac:dyDescent="0.35">
      <c r="A19" s="28"/>
      <c r="B19" s="28"/>
      <c r="C19" s="23"/>
      <c r="D19" s="3"/>
      <c r="E19" s="3"/>
      <c r="F19" s="3"/>
      <c r="G19" s="3"/>
      <c r="H19" s="3"/>
    </row>
    <row r="20" spans="1:8" x14ac:dyDescent="0.35">
      <c r="A20" s="27"/>
      <c r="B20" s="27"/>
      <c r="C20" s="23"/>
      <c r="D20" s="3"/>
      <c r="E20" s="3"/>
      <c r="F20" s="3"/>
      <c r="G20" s="3"/>
      <c r="H20" s="3"/>
    </row>
    <row r="21" spans="1:8" x14ac:dyDescent="0.35">
      <c r="A21" s="28"/>
      <c r="B21" s="28"/>
      <c r="C21" s="23"/>
      <c r="D21" s="3"/>
      <c r="E21" s="3"/>
      <c r="F21" s="3"/>
      <c r="G21" s="3"/>
      <c r="H21" s="3"/>
    </row>
    <row r="22" spans="1:8" x14ac:dyDescent="0.35">
      <c r="A22" s="4"/>
      <c r="B22" s="4"/>
      <c r="C22" s="26"/>
      <c r="D22" s="3"/>
      <c r="F22" s="3"/>
      <c r="G22" s="3"/>
      <c r="H22" s="3"/>
    </row>
    <row r="23" spans="1:8" x14ac:dyDescent="0.35">
      <c r="E23" s="3"/>
      <c r="F23" s="3"/>
    </row>
    <row r="24" spans="1:8" x14ac:dyDescent="0.35">
      <c r="E24" s="3"/>
      <c r="F24" s="3"/>
    </row>
    <row r="25" spans="1:8" x14ac:dyDescent="0.35">
      <c r="E25" s="3"/>
      <c r="F25" s="3"/>
    </row>
    <row r="26" spans="1:8" x14ac:dyDescent="0.35">
      <c r="E26" s="3"/>
      <c r="F26" s="3"/>
    </row>
    <row r="27" spans="1:8" x14ac:dyDescent="0.35">
      <c r="E27" s="3"/>
      <c r="F27" s="3"/>
    </row>
    <row r="28" spans="1:8" x14ac:dyDescent="0.35">
      <c r="E28" s="3"/>
      <c r="F28" s="3"/>
    </row>
    <row r="29" spans="1:8" x14ac:dyDescent="0.35">
      <c r="E29" s="3"/>
      <c r="F29" s="3"/>
    </row>
    <row r="30" spans="1:8" x14ac:dyDescent="0.35">
      <c r="E30" s="3"/>
      <c r="F30" s="3"/>
    </row>
  </sheetData>
  <conditionalFormatting sqref="A2:H22">
    <cfRule type="expression" dxfId="0" priority="1">
      <formula>$H2 = 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A128-5D8C-421B-990B-0D7D4CF96C5D}">
  <dimension ref="A1:C12"/>
  <sheetViews>
    <sheetView zoomScaleNormal="100" workbookViewId="0">
      <selection activeCell="C12" sqref="C12"/>
    </sheetView>
  </sheetViews>
  <sheetFormatPr defaultRowHeight="14.5" x14ac:dyDescent="0.35"/>
  <cols>
    <col min="1" max="1" width="35.453125" bestFit="1" customWidth="1"/>
    <col min="3" max="3" width="191.453125" bestFit="1" customWidth="1"/>
  </cols>
  <sheetData>
    <row r="1" spans="1:3" x14ac:dyDescent="0.35">
      <c r="A1" t="s">
        <v>1204</v>
      </c>
      <c r="B1">
        <v>1</v>
      </c>
      <c r="C1" t="s">
        <v>1136</v>
      </c>
    </row>
    <row r="2" spans="1:3" ht="16" x14ac:dyDescent="0.35">
      <c r="A2" t="s">
        <v>1207</v>
      </c>
      <c r="B2">
        <v>2</v>
      </c>
      <c r="C2" s="46" t="s">
        <v>1137</v>
      </c>
    </row>
    <row r="3" spans="1:3" ht="16" x14ac:dyDescent="0.4">
      <c r="A3" t="s">
        <v>1207</v>
      </c>
      <c r="B3">
        <v>3</v>
      </c>
      <c r="C3" s="47" t="s">
        <v>1138</v>
      </c>
    </row>
    <row r="4" spans="1:3" x14ac:dyDescent="0.35">
      <c r="A4" t="s">
        <v>1207</v>
      </c>
      <c r="B4">
        <v>4</v>
      </c>
      <c r="C4" t="s">
        <v>1139</v>
      </c>
    </row>
    <row r="5" spans="1:3" x14ac:dyDescent="0.35">
      <c r="A5" t="s">
        <v>1207</v>
      </c>
      <c r="B5">
        <v>5</v>
      </c>
      <c r="C5" t="s">
        <v>1195</v>
      </c>
    </row>
    <row r="6" spans="1:3" x14ac:dyDescent="0.35">
      <c r="A6" t="s">
        <v>1207</v>
      </c>
      <c r="B6">
        <v>6</v>
      </c>
      <c r="C6" t="s">
        <v>1196</v>
      </c>
    </row>
    <row r="7" spans="1:3" x14ac:dyDescent="0.35">
      <c r="A7" t="s">
        <v>1210</v>
      </c>
      <c r="B7">
        <v>7</v>
      </c>
      <c r="C7" t="s">
        <v>1173</v>
      </c>
    </row>
    <row r="8" spans="1:3" x14ac:dyDescent="0.35">
      <c r="A8" t="s">
        <v>1211</v>
      </c>
      <c r="B8">
        <v>8</v>
      </c>
      <c r="C8" t="s">
        <v>1181</v>
      </c>
    </row>
    <row r="9" spans="1:3" x14ac:dyDescent="0.35">
      <c r="A9" t="s">
        <v>1207</v>
      </c>
      <c r="B9">
        <v>9</v>
      </c>
      <c r="C9" t="s">
        <v>1185</v>
      </c>
    </row>
    <row r="10" spans="1:3" x14ac:dyDescent="0.35">
      <c r="A10" t="s">
        <v>1207</v>
      </c>
      <c r="B10">
        <v>10</v>
      </c>
      <c r="C10" t="s">
        <v>1186</v>
      </c>
    </row>
    <row r="11" spans="1:3" x14ac:dyDescent="0.35">
      <c r="A11" t="s">
        <v>1205</v>
      </c>
      <c r="B11">
        <v>11</v>
      </c>
      <c r="C11" s="6" t="s">
        <v>1187</v>
      </c>
    </row>
    <row r="12" spans="1:3" x14ac:dyDescent="0.35">
      <c r="A12" t="s">
        <v>1207</v>
      </c>
      <c r="B12">
        <v>12</v>
      </c>
      <c r="C12" t="s">
        <v>1203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3107bf-6446-4b71-ac19-25e707eea7af" xsi:nil="true"/>
    <dateandtime xmlns="7514b775-d5c3-47ab-a49e-209606012355" xsi:nil="true"/>
    <Date xmlns="7514b775-d5c3-47ab-a49e-209606012355" xsi:nil="true"/>
    <lcf76f155ced4ddcb4097134ff3c332f xmlns="7514b775-d5c3-47ab-a49e-2096060123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BC3B3481CB8844A357FE9DC53EA38F" ma:contentTypeVersion="17" ma:contentTypeDescription="Create a new document." ma:contentTypeScope="" ma:versionID="43ae62a1b6fe905ef8e683ceeb0aa687">
  <xsd:schema xmlns:xsd="http://www.w3.org/2001/XMLSchema" xmlns:xs="http://www.w3.org/2001/XMLSchema" xmlns:p="http://schemas.microsoft.com/office/2006/metadata/properties" xmlns:ns2="7514b775-d5c3-47ab-a49e-209606012355" xmlns:ns3="d83107bf-6446-4b71-ac19-25e707eea7af" targetNamespace="http://schemas.microsoft.com/office/2006/metadata/properties" ma:root="true" ma:fieldsID="93f95da6b0cb7fa16b0af7a00761f83e" ns2:_="" ns3:_="">
    <xsd:import namespace="7514b775-d5c3-47ab-a49e-209606012355"/>
    <xsd:import namespace="d83107bf-6446-4b71-ac19-25e707eea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eandtime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4b775-d5c3-47ab-a49e-2096060123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3b24ca-1804-43be-8e81-cb9825a96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 " ma:format="DateTime" ma:internalName="dateandtime">
      <xsd:simpleType>
        <xsd:restriction base="dms:DateTime"/>
      </xsd:simpleType>
    </xsd:element>
    <xsd:element name="Date" ma:index="22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107bf-6446-4b71-ac19-25e707eea7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2121a9-df56-4696-9cab-0573ba0f7c7d}" ma:internalName="TaxCatchAll" ma:showField="CatchAllData" ma:web="d83107bf-6446-4b71-ac19-25e707eea7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B9012B-0363-4B47-8E77-CCE1C2E5E62B}">
  <ds:schemaRefs>
    <ds:schemaRef ds:uri="7514b775-d5c3-47ab-a49e-209606012355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d83107bf-6446-4b71-ac19-25e707eea7af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AF0DDEA-40DC-41AD-B5FA-2E6CBE42E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14b775-d5c3-47ab-a49e-209606012355"/>
    <ds:schemaRef ds:uri="d83107bf-6446-4b71-ac19-25e707eea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3CFD87-37E8-4955-8754-1E419B2BDE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DO NOT EDIT - Client List</vt:lpstr>
      <vt:lpstr>Territory List</vt:lpstr>
      <vt:lpstr>Dashboard</vt:lpstr>
      <vt:lpstr>1-Sue</vt:lpstr>
      <vt:lpstr>2-Sue</vt:lpstr>
      <vt:lpstr>3-Sue</vt:lpstr>
      <vt:lpstr>4-Sue</vt:lpstr>
      <vt:lpstr>5-Brian</vt:lpstr>
      <vt:lpstr>6-Sue</vt:lpstr>
      <vt:lpstr>7-Brian</vt:lpstr>
      <vt:lpstr>8-Kath</vt:lpstr>
      <vt:lpstr>9-Kath</vt:lpstr>
      <vt:lpstr>10-Brian</vt:lpstr>
      <vt:lpstr>11-B,M,K</vt:lpstr>
      <vt:lpstr>12-Kath</vt:lpstr>
      <vt:lpstr>13-Michelle</vt:lpstr>
      <vt:lpstr>14-Michelle</vt:lpstr>
      <vt:lpstr>15-Michelle</vt:lpstr>
      <vt:lpstr>16-Michelle</vt:lpstr>
      <vt:lpstr>CHANGES needed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Jamros</dc:creator>
  <cp:lastModifiedBy>Kathleen Cyganiewicz</cp:lastModifiedBy>
  <cp:lastPrinted>2026-03-03T17:09:36Z</cp:lastPrinted>
  <dcterms:created xsi:type="dcterms:W3CDTF">2026-01-16T19:00:14Z</dcterms:created>
  <dcterms:modified xsi:type="dcterms:W3CDTF">2026-08-28T00:25:31Z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0x01010090BC3B3481CB8844A357FE9DC53EA38F</vt:lpwstr>
  </property>
  <property fmtid="{D5CDD505-2E9C-101B-9397-08002B2CF9AE}" pid="3" name="MediaServiceImageTags">
    <vt:lpwstr/>
  </property>
</Properties>
</file>